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14a78200221461f" /></Relationships>
</file>

<file path=xl/workbook.xml><?xml version="1.0" encoding="utf-8"?>
<workbook xmlns="http://schemas.openxmlformats.org/spreadsheetml/2006/main" xmlns:r="http://schemas.openxmlformats.org/officeDocument/2006/relationships">
  <sheets>
    <sheet name="Close_Control" sheetId="1" r:id="R7d797c8c49a948ea"/>
    <sheet name="Source_Data" sheetId="2" r:id="Rc0cf7d941f814d4e"/>
    <sheet name="Account_Map" sheetId="3" r:id="Red296cad5725462d"/>
    <sheet name="Reconciliation" sheetId="4" r:id="Rcd655485cd704ec5"/>
    <sheet name="Proposed_Entries" sheetId="5" r:id="R0e1ca55286bd40d6"/>
    <sheet name="Prior_Period" sheetId="6" r:id="R3f4e6bcca8ef48ba"/>
    <sheet name="Exceptions" sheetId="7" r:id="Rbf5beb5e222e4c14"/>
    <sheet name="Checks" sheetId="8" r:id="Raffa2827d00e44c6"/>
  </sheets>
  <definedNames>
    <definedName name="_xlnm.Print_Area" localSheetId="0">'Close_Control'!$A$1:$H$16</definedName>
    <definedName name="_xlnm.Print_Area" localSheetId="1">'Source_Data'!$A$1:$H$29</definedName>
    <definedName name="_xlnm.Print_Area" localSheetId="2">'Account_Map'!$A$1:$E$29</definedName>
    <definedName name="_xlnm.Print_Area" localSheetId="3">'Reconciliation'!$A$1:$H$24</definedName>
    <definedName name="_xlnm.Print_Area" localSheetId="4">'Proposed_Entries'!$A$1:$H$19</definedName>
    <definedName name="_xlnm.Print_Area" localSheetId="5">'Prior_Period'!$A$1:$E$24</definedName>
    <definedName name="_xlnm.Print_Area" localSheetId="6">'Exceptions'!$A$1:$H$19</definedName>
    <definedName name="_xlnm.Print_Area" localSheetId="7">'Checks'!$A$1:$D$12</definedName>
  </definedNames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$#,##0.00;[Red]($#,##0.00);-"/>
  </x:numFmts>
  <x:fonts count="10">
    <x:font>
      <x:sz val="11"/>
      <x:name val="Carlito"/>
    </x:font>
    <x:font>
      <x:b/>
      <x:sz val="16"/>
      <x:color rgb="FFFFFFFF"/>
      <x:name val="Carlito"/>
    </x:font>
    <x:font>
      <x:i/>
      <x:sz val="11"/>
      <x:color rgb="FF44546A"/>
      <x:name val="Carlito"/>
    </x:font>
    <x:font>
      <x:b/>
      <x:sz val="11"/>
      <x:color rgb="FF17365D"/>
      <x:name val="Carlito"/>
    </x:font>
    <x:font>
      <x:b/>
      <x:sz val="14"/>
      <x:name val="Carlito"/>
    </x:font>
    <x:font>
      <x:b/>
      <x:sz val="10"/>
      <x:color rgb="FFFFFFFF"/>
      <x:name val="Aptos"/>
    </x:font>
    <x:font>
      <x:i/>
      <x:sz val="10"/>
      <x:color rgb="FF44546A"/>
      <x:name val="Aptos"/>
    </x:font>
    <x:font>
      <x:sz val="10"/>
      <x:name val="Aptos"/>
    </x:font>
    <x:font>
      <x:b/>
      <x:sz val="10"/>
      <x:color rgb="FF17365D"/>
      <x:name val="Aptos"/>
    </x:font>
    <x:font>
      <x:b/>
      <x:sz val="10"/>
      <x:name val="Aptos"/>
    </x:font>
  </x:fonts>
  <x:fills count="6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3F6F9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</x:fills>
  <x:borders count="11">
    <x:border/>
    <x:border>
      <x:left style="thin">
        <x:color rgb="FFB4C6E7"/>
      </x:left>
      <x:right style="thin">
        <x:color rgb="FFB4C6E7"/>
      </x:right>
      <x:top style="thin">
        <x:color rgb="FFB4C6E7"/>
      </x:top>
      <x:bottom style="thin">
        <x:color rgb="FFB4C6E7"/>
      </x:bottom>
    </x:border>
    <x:border>
      <x:right style="thin">
        <x:color rgb="FFE7E6E6"/>
      </x:right>
      <x:bottom style="thin">
        <x:color rgb="FFE7E6E6"/>
      </x:bottom>
    </x:border>
    <x:border>
      <x:left style="thin">
        <x:color rgb="FFE7E6E6"/>
      </x:left>
      <x:right style="thin">
        <x:color rgb="FFE7E6E6"/>
      </x:right>
      <x:bottom style="thin">
        <x:color rgb="FFE7E6E6"/>
      </x:bottom>
    </x:border>
    <x:border>
      <x:left style="thin">
        <x:color rgb="FFE7E6E6"/>
      </x:left>
      <x:bottom style="thin">
        <x:color rgb="FFE7E6E6"/>
      </x:bottom>
    </x:border>
    <x:border>
      <x:right style="thin">
        <x:color rgb="FFE7E6E6"/>
      </x:right>
      <x:top style="thin">
        <x:color rgb="FFE7E6E6"/>
      </x:top>
      <x:bottom style="thin">
        <x:color rgb="FFE7E6E6"/>
      </x:bottom>
    </x:border>
    <x:border>
      <x:left style="thin">
        <x:color rgb="FFE7E6E6"/>
      </x:left>
      <x:right style="thin">
        <x:color rgb="FFE7E6E6"/>
      </x:right>
      <x:top style="thin">
        <x:color rgb="FFE7E6E6"/>
      </x:top>
      <x:bottom style="thin">
        <x:color rgb="FFE7E6E6"/>
      </x:bottom>
    </x:border>
    <x:border>
      <x:left style="thin">
        <x:color rgb="FFE7E6E6"/>
      </x:left>
      <x:top style="thin">
        <x:color rgb="FFE7E6E6"/>
      </x:top>
      <x:bottom style="thin">
        <x:color rgb="FFE7E6E6"/>
      </x:bottom>
    </x:border>
    <x:border>
      <x:right style="thin">
        <x:color rgb="FFE7E6E6"/>
      </x:right>
      <x:top style="thin">
        <x:color rgb="FFE7E6E6"/>
      </x:top>
    </x:border>
    <x:border>
      <x:left style="thin">
        <x:color rgb="FFE7E6E6"/>
      </x:left>
      <x:right style="thin">
        <x:color rgb="FFE7E6E6"/>
      </x:right>
      <x:top style="thin">
        <x:color rgb="FFE7E6E6"/>
      </x:top>
    </x:border>
    <x:border>
      <x:left style="thin">
        <x:color rgb="FFE7E6E6"/>
      </x:left>
      <x:top style="thin">
        <x:color rgb="FFE7E6E6"/>
      </x:top>
    </x:border>
  </x:borders>
  <x:cellStyleXfs count="1">
    <x:xf numFmtId="0" fontId="0" fillId="0" borderId="0"/>
  </x:cellStyleXfs>
  <x:cellXfs count="7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200" fontId="0" fillId="0" borderId="3" xfId="0" applyNumberFormat="1" applyFont="1" applyFill="1" applyBorder="1"/>
    <x:xf numFmtId="200" fontId="0" fillId="0" borderId="6" xfId="0" applyNumberFormat="1" applyFont="1" applyFill="1" applyBorder="1"/>
    <x:xf numFmtId="200" fontId="0" fillId="0" borderId="9" xfId="0" applyNumberFormat="1" applyFont="1" applyFill="1" applyBorder="1"/>
    <x:xf numFmtId="201" fontId="0" fillId="0" borderId="3" xfId="0" applyNumberFormat="1" applyFont="1" applyFill="1" applyBorder="1"/>
    <x:xf numFmtId="201" fontId="0" fillId="0" borderId="6" xfId="0" applyNumberFormat="1" applyFont="1" applyFill="1" applyBorder="1"/>
    <x:xf numFmtId="201" fontId="0" fillId="0" borderId="9" xfId="0" applyNumberFormat="1" applyFont="1" applyFill="1" applyBorder="1"/>
    <x:xf numFmtId="0" fontId="3" fillId="4" borderId="1" xfId="0" applyNumberFormat="1" applyFont="1" applyFill="1" applyBorder="1" applyAlignment="1">
      <x:alignment wrapText="0"/>
    </x:xf>
    <x:xf numFmtId="0" fontId="0" fillId="0" borderId="2" xfId="0" applyNumberFormat="1" applyFont="1" applyFill="1" applyBorder="1" applyAlignment="1">
      <x:alignment wrapText="0"/>
    </x:xf>
    <x:xf numFmtId="0" fontId="0" fillId="0" borderId="3" xfId="0" applyNumberFormat="1" applyFont="1" applyFill="1" applyBorder="1" applyAlignment="1">
      <x:alignment wrapText="0"/>
    </x:xf>
    <x:xf numFmtId="200" fontId="0" fillId="0" borderId="3" xfId="0" applyNumberFormat="1" applyFont="1" applyFill="1" applyBorder="1" applyAlignment="1">
      <x:alignment wrapText="0"/>
    </x:xf>
    <x:xf numFmtId="201" fontId="0" fillId="0" borderId="3" xfId="0" applyNumberFormat="1" applyFont="1" applyFill="1" applyBorder="1" applyAlignment="1">
      <x:alignment wrapText="0"/>
    </x:xf>
    <x:xf numFmtId="0" fontId="0" fillId="0" borderId="4" xfId="0" applyNumberFormat="1" applyFont="1" applyFill="1" applyBorder="1" applyAlignment="1">
      <x:alignment wrapText="0"/>
    </x:xf>
    <x:xf numFmtId="0" fontId="0" fillId="0" borderId="5" xfId="0" applyNumberFormat="1" applyFont="1" applyFill="1" applyBorder="1" applyAlignment="1">
      <x:alignment wrapText="0"/>
    </x:xf>
    <x:xf numFmtId="0" fontId="0" fillId="0" borderId="6" xfId="0" applyNumberFormat="1" applyFont="1" applyFill="1" applyBorder="1" applyAlignment="1">
      <x:alignment wrapText="0"/>
    </x:xf>
    <x:xf numFmtId="200" fontId="0" fillId="0" borderId="6" xfId="0" applyNumberFormat="1" applyFont="1" applyFill="1" applyBorder="1" applyAlignment="1">
      <x:alignment wrapText="0"/>
    </x:xf>
    <x:xf numFmtId="201" fontId="0" fillId="0" borderId="6" xfId="0" applyNumberFormat="1" applyFont="1" applyFill="1" applyBorder="1" applyAlignment="1">
      <x:alignment wrapText="0"/>
    </x:xf>
    <x:xf numFmtId="0" fontId="0" fillId="0" borderId="7" xfId="0" applyNumberFormat="1" applyFont="1" applyFill="1" applyBorder="1" applyAlignment="1">
      <x:alignment wrapText="0"/>
    </x:xf>
    <x:xf numFmtId="0" fontId="0" fillId="0" borderId="8" xfId="0" applyNumberFormat="1" applyFont="1" applyFill="1" applyBorder="1" applyAlignment="1">
      <x:alignment wrapText="0"/>
    </x:xf>
    <x:xf numFmtId="0" fontId="0" fillId="0" borderId="9" xfId="0" applyNumberFormat="1" applyFont="1" applyFill="1" applyBorder="1" applyAlignment="1">
      <x:alignment wrapText="0"/>
    </x:xf>
    <x:xf numFmtId="200" fontId="0" fillId="0" borderId="9" xfId="0" applyNumberFormat="1" applyFont="1" applyFill="1" applyBorder="1" applyAlignment="1">
      <x:alignment wrapText="0"/>
    </x:xf>
    <x:xf numFmtId="201" fontId="0" fillId="0" borderId="9" xfId="0" applyNumberFormat="1" applyFont="1" applyFill="1" applyBorder="1" applyAlignment="1">
      <x:alignment wrapText="0"/>
    </x:xf>
    <x:xf numFmtId="0" fontId="0" fillId="0" borderId="10" xfId="0" applyNumberFormat="1" applyFont="1" applyFill="1" applyBorder="1" applyAlignment="1">
      <x:alignment wrapText="0"/>
    </x:xf>
    <x:xf numFmtId="201" fontId="0" fillId="0" borderId="0" xfId="0" applyNumberFormat="1" applyFont="1" applyFill="1" applyBorder="1"/>
    <x:xf numFmtId="201" fontId="0" fillId="5" borderId="0" xfId="0" applyNumberFormat="1" applyFont="1" applyFill="1" applyBorder="1"/>
    <x:xf numFmtId="200" fontId="0" fillId="5" borderId="0" xfId="0" applyNumberFormat="1" applyFont="1" applyFill="1" applyBorder="1"/>
    <x:xf numFmtId="0" fontId="4" fillId="3" borderId="0" xfId="0" applyNumberFormat="1" applyFont="1" applyFill="1" applyBorder="1"/>
    <x:xf numFmtId="0" fontId="5" fillId="2" borderId="0" xfId="0" applyNumberFormat="1" applyFont="1" applyFill="1" applyBorder="1"/>
    <x:xf numFmtId="0" fontId="6" fillId="3" borderId="0" xfId="0" applyNumberFormat="1" applyFont="1" applyFill="1" applyBorder="1" applyAlignment="1">
      <x:alignment wrapText="1"/>
    </x:xf>
    <x:xf numFmtId="0" fontId="7" fillId="0" borderId="0" xfId="0" applyNumberFormat="1" applyFont="1" applyFill="1" applyBorder="1"/>
    <x:xf numFmtId="0" fontId="8" fillId="4" borderId="1" xfId="0" applyNumberFormat="1" applyFont="1" applyFill="1" applyBorder="1" applyAlignment="1">
      <x:alignment wrapText="1"/>
    </x:xf>
    <x:xf numFmtId="0" fontId="7" fillId="5" borderId="0" xfId="0" applyNumberFormat="1" applyFont="1" applyFill="1" applyBorder="1"/>
    <x:xf numFmtId="0" fontId="8" fillId="4" borderId="1" xfId="0" applyNumberFormat="1" applyFont="1" applyFill="1" applyBorder="1" applyAlignment="1">
      <x:alignment wrapText="0"/>
    </x:xf>
    <x:xf numFmtId="0" fontId="7" fillId="0" borderId="2" xfId="0" applyNumberFormat="1" applyFont="1" applyFill="1" applyBorder="1" applyAlignment="1">
      <x:alignment wrapText="0"/>
    </x:xf>
    <x:xf numFmtId="0" fontId="7" fillId="0" borderId="3" xfId="0" applyNumberFormat="1" applyFont="1" applyFill="1" applyBorder="1" applyAlignment="1">
      <x:alignment wrapText="0"/>
    </x:xf>
    <x:xf numFmtId="200" fontId="7" fillId="0" borderId="3" xfId="0" applyNumberFormat="1" applyFont="1" applyFill="1" applyBorder="1" applyAlignment="1">
      <x:alignment wrapText="0"/>
    </x:xf>
    <x:xf numFmtId="201" fontId="7" fillId="0" borderId="3" xfId="0" applyNumberFormat="1" applyFont="1" applyFill="1" applyBorder="1" applyAlignment="1">
      <x:alignment wrapText="0"/>
    </x:xf>
    <x:xf numFmtId="0" fontId="7" fillId="0" borderId="4" xfId="0" applyNumberFormat="1" applyFont="1" applyFill="1" applyBorder="1" applyAlignment="1">
      <x:alignment wrapText="0"/>
    </x:xf>
    <x:xf numFmtId="0" fontId="7" fillId="0" borderId="5" xfId="0" applyNumberFormat="1" applyFont="1" applyFill="1" applyBorder="1" applyAlignment="1">
      <x:alignment wrapText="0"/>
    </x:xf>
    <x:xf numFmtId="0" fontId="7" fillId="0" borderId="6" xfId="0" applyNumberFormat="1" applyFont="1" applyFill="1" applyBorder="1" applyAlignment="1">
      <x:alignment wrapText="0"/>
    </x:xf>
    <x:xf numFmtId="200" fontId="7" fillId="0" borderId="6" xfId="0" applyNumberFormat="1" applyFont="1" applyFill="1" applyBorder="1" applyAlignment="1">
      <x:alignment wrapText="0"/>
    </x:xf>
    <x:xf numFmtId="201" fontId="7" fillId="0" borderId="6" xfId="0" applyNumberFormat="1" applyFont="1" applyFill="1" applyBorder="1" applyAlignment="1">
      <x:alignment wrapText="0"/>
    </x:xf>
    <x:xf numFmtId="0" fontId="7" fillId="0" borderId="7" xfId="0" applyNumberFormat="1" applyFont="1" applyFill="1" applyBorder="1" applyAlignment="1">
      <x:alignment wrapText="0"/>
    </x:xf>
    <x:xf numFmtId="0" fontId="7" fillId="0" borderId="8" xfId="0" applyNumberFormat="1" applyFont="1" applyFill="1" applyBorder="1" applyAlignment="1">
      <x:alignment wrapText="0"/>
    </x:xf>
    <x:xf numFmtId="0" fontId="7" fillId="0" borderId="9" xfId="0" applyNumberFormat="1" applyFont="1" applyFill="1" applyBorder="1" applyAlignment="1">
      <x:alignment wrapText="0"/>
    </x:xf>
    <x:xf numFmtId="200" fontId="7" fillId="0" borderId="9" xfId="0" applyNumberFormat="1" applyFont="1" applyFill="1" applyBorder="1" applyAlignment="1">
      <x:alignment wrapText="0"/>
    </x:xf>
    <x:xf numFmtId="201" fontId="7" fillId="0" borderId="9" xfId="0" applyNumberFormat="1" applyFont="1" applyFill="1" applyBorder="1" applyAlignment="1">
      <x:alignment wrapText="0"/>
    </x:xf>
    <x:xf numFmtId="0" fontId="7" fillId="0" borderId="10" xfId="0" applyNumberFormat="1" applyFont="1" applyFill="1" applyBorder="1" applyAlignment="1">
      <x:alignment wrapText="0"/>
    </x:xf>
    <x:xf numFmtId="201" fontId="7" fillId="0" borderId="0" xfId="0" applyNumberFormat="1" applyFont="1" applyFill="1" applyBorder="1"/>
    <x:xf numFmtId="201" fontId="7" fillId="5" borderId="0" xfId="0" applyNumberFormat="1" applyFont="1" applyFill="1" applyBorder="1"/>
    <x:xf numFmtId="200" fontId="7" fillId="5" borderId="0" xfId="0" applyNumberFormat="1" applyFont="1" applyFill="1" applyBorder="1"/>
    <x:xf numFmtId="0" fontId="9" fillId="3" borderId="0" xfId="0" applyNumberFormat="1" applyFont="1" applyFill="1" applyBorder="1"/>
  </x:cellXfs>
  <x:cellStyles count="1">
    <x:cellStyle name="Normal" xfId="0"/>
  </x:cellStyles>
  <x:dxfs count="4"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9C0006"/>
      </x:font>
      <x:fill>
        <x:patternFill patternType="solid">
          <x:bgColor rgb="FFFCE4D6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2a15ce8c52c4b1c" /><Relationship Type="http://schemas.openxmlformats.org/officeDocument/2006/relationships/theme" Target="/xl/theme/theme1.xml" Id="Rd82c15a1be6f45a7" /><Relationship Type="http://schemas.openxmlformats.org/officeDocument/2006/relationships/sharedStrings" Target="/xl/sharedStrings.xml" Id="R22dbf4efc77f423e" /><Relationship Type="http://schemas.openxmlformats.org/officeDocument/2006/relationships/worksheet" Target="/xl/worksheets/sheet1.xml" Id="R7d797c8c49a948ea" /><Relationship Type="http://schemas.openxmlformats.org/officeDocument/2006/relationships/worksheet" Target="/xl/worksheets/sheet2.xml" Id="Rc0cf7d941f814d4e" /><Relationship Type="http://schemas.openxmlformats.org/officeDocument/2006/relationships/worksheet" Target="/xl/worksheets/sheet3.xml" Id="Red296cad5725462d" /><Relationship Type="http://schemas.openxmlformats.org/officeDocument/2006/relationships/worksheet" Target="/xl/worksheets/sheet4.xml" Id="Rcd655485cd704ec5" /><Relationship Type="http://schemas.openxmlformats.org/officeDocument/2006/relationships/worksheet" Target="/xl/worksheets/sheet5.xml" Id="R0e1ca55286bd40d6" /><Relationship Type="http://schemas.openxmlformats.org/officeDocument/2006/relationships/worksheet" Target="/xl/worksheets/sheet6.xml" Id="R3f4e6bcca8ef48ba" /><Relationship Type="http://schemas.openxmlformats.org/officeDocument/2006/relationships/worksheet" Target="/xl/worksheets/sheet7.xml" Id="Rbf5beb5e222e4c14" /><Relationship Type="http://schemas.openxmlformats.org/officeDocument/2006/relationships/worksheet" Target="/xl/worksheets/sheet8.xml" Id="Raffa2827d00e44c6" /></Relationships>
</file>

<file path=xl/tables/table1.xml><?xml version="1.0" encoding="utf-8"?>
<x:table xmlns:x="http://schemas.openxmlformats.org/spreadsheetml/2006/main" id="1" name="SourceDataTable" displayName="SourceDataTable" ref="A4:H29" headerRowCount="1" totalsRowCount="0" totalsRowShown="0">
  <x:tableColumns count="8">
    <x:tableColumn id="1" name="Source Row ID"/>
    <x:tableColumn id="2" name="Entity Code"/>
    <x:tableColumn id="3" name="Account Code"/>
    <x:tableColumn id="4" name="Transaction Date"/>
    <x:tableColumn id="5" name="Description"/>
    <x:tableColumn id="6" name="Debit"/>
    <x:tableColumn id="7" name="Credit"/>
    <x:tableColumn id="8" name="Status Cod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AccountMapTable" displayName="AccountMapTable" ref="A4:E29" headerRowCount="1" totalsRowCount="0" totalsRowShown="0">
  <x:tableColumns count="5">
    <x:tableColumn id="1" name="Account Code"/>
    <x:tableColumn id="2" name="Account Name"/>
    <x:tableColumn id="3" name="Statement Group"/>
    <x:tableColumn id="4" name="Reconciliation Owner Role"/>
    <x:tableColumn id="5" name="Active?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econciliationTable" displayName="ReconciliationTable" ref="A4:H24" headerRowCount="1" totalsRowCount="0" totalsRowShown="0">
  <x:tableColumns count="8">
    <x:tableColumn id="1" name="Account Code"/>
    <x:tableColumn id="2" name="Account Name"/>
    <x:tableColumn id="3" name="Source Net"/>
    <x:tableColumn id="4" name="Ledger Balance"/>
    <x:tableColumn id="5" name="Difference"/>
    <x:tableColumn id="6" name="Threshold"/>
    <x:tableColumn id="7" name="Status"/>
    <x:tableColumn id="8" name="Explanation /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roposedEntriesTable" displayName="ProposedEntriesTable" ref="A4:H19" headerRowCount="1" totalsRowCount="0" totalsRowShown="0">
  <x:tableColumns count="8">
    <x:tableColumn id="1" name="Entry ID"/>
    <x:tableColumn id="2" name="Account Code"/>
    <x:tableColumn id="3" name="Description"/>
    <x:tableColumn id="4" name="Debit"/>
    <x:tableColumn id="5" name="Credit"/>
    <x:tableColumn id="6" name="Source Reference"/>
    <x:tableColumn id="7" name="Preparation Status"/>
    <x:tableColumn id="8" name="Review Not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PriorPeriodTable" displayName="PriorPeriodTable" ref="A4:E24" headerRowCount="1" totalsRowCount="0" totalsRowShown="0">
  <x:tableColumns count="5">
    <x:tableColumn id="1" name="Account Code"/>
    <x:tableColumn id="2" name="Current Balance"/>
    <x:tableColumn id="3" name="Prior Balance"/>
    <x:tableColumn id="4" name="Change"/>
    <x:tableColumn id="5" name="Context Note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ExceptionsTable" displayName="ExceptionsTable" ref="A4:H19" headerRowCount="1" totalsRowCount="0" totalsRowShown="0">
  <x:tableColumns count="8">
    <x:tableColumn id="1" name="Exception ID"/>
    <x:tableColumn id="2" name="Detected In"/>
    <x:tableColumn id="3" name="Question / Condition"/>
    <x:tableColumn id="4" name="Authority Class"/>
    <x:tableColumn id="5" name="Owner Role"/>
    <x:tableColumn id="6" name="Due Date"/>
    <x:tableColumn id="7" name="Status"/>
    <x:tableColumn id="8" name="Resolution Referen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5aa5eeb5edef4e7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fcbc89ad489c441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cceffbf57d5a485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ade219d9bca34a54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3b6360dfbb604cd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e299acbb085045ce" /></Relationships>
</file>

<file path=xl/worksheets/sheet1.xml><?xml version="1.0" encoding="utf-8"?>
<worksheet xmlns="http://schemas.openxmlformats.org/spreadsheetml/2006/main">
  <sheetPr>
    <pageSetUpPr fitToPage="1"/>
  </sheetPr>
  <sheetViews>
    <sheetView showGridLines="0" workbookViewId="0"/>
  </sheetViews>
  <sheetFormatPr defaultRowHeight="15"/>
  <cols>
    <col min="1" max="1" width="34" hidden="0" customWidth="1"/>
    <col min="2" max="2" width="24" hidden="0" customWidth="1"/>
    <col min="3" max="3" width="44" hidden="0" customWidth="1"/>
  </cols>
  <sheetData>
    <row r="1" ht="28" customHeight="1">
      <c r="A1" s="46" t="str">
        <v>Monthly Close &amp; Reconciliation</v>
      </c>
      <c r="B1" s="46"/>
      <c r="C1" s="46"/>
      <c r="D1" s="46"/>
      <c r="E1" s="46"/>
      <c r="F1" s="46"/>
      <c r="G1" s="46"/>
      <c r="H1" s="46"/>
    </row>
    <row r="2" ht="30" customHeight="1">
      <c r="A2" s="47" t="str">
        <v>Internal working file | supporting analysis | approval is evidenced separately</v>
      </c>
      <c r="B2" s="47"/>
      <c r="C2" s="47"/>
      <c r="D2" s="47"/>
      <c r="E2" s="47"/>
      <c r="F2" s="47"/>
      <c r="G2" s="47"/>
      <c r="H2" s="47"/>
    </row>
    <row r="3">
      <c r="A3" s="48"/>
      <c r="B3" s="48"/>
      <c r="C3" s="48"/>
      <c r="D3" s="48"/>
      <c r="E3" s="48"/>
      <c r="F3" s="48"/>
      <c r="G3" s="48"/>
      <c r="H3" s="48"/>
    </row>
    <row r="4">
      <c r="A4" s="49" t="str">
        <v>Close file field</v>
      </c>
      <c r="B4" s="49" t="str">
        <v>Value</v>
      </c>
      <c r="C4" s="48"/>
      <c r="D4" s="48"/>
      <c r="E4" s="48"/>
      <c r="F4" s="48"/>
      <c r="G4" s="48"/>
      <c r="H4" s="48"/>
    </row>
    <row r="5">
      <c r="A5" s="48" t="str">
        <v>Organization</v>
      </c>
      <c r="B5" s="50" t="str">
        <v>{{organization_name}}</v>
      </c>
      <c r="C5" s="48"/>
      <c r="D5" s="48"/>
      <c r="E5" s="48"/>
      <c r="F5" s="48"/>
      <c r="G5" s="48"/>
      <c r="H5" s="48"/>
    </row>
    <row r="6">
      <c r="A6" s="48" t="str">
        <v>Close period</v>
      </c>
      <c r="B6" s="50" t="str">
        <v>{{close_period_end}}</v>
      </c>
      <c r="C6" s="48"/>
      <c r="D6" s="48"/>
      <c r="E6" s="48"/>
      <c r="F6" s="48"/>
      <c r="G6" s="48"/>
      <c r="H6" s="48"/>
    </row>
    <row r="7">
      <c r="A7" s="48" t="str">
        <v>Prepared by role</v>
      </c>
      <c r="B7" s="50" t="str">
        <v>{{preparer_role}}</v>
      </c>
      <c r="C7" s="48"/>
      <c r="D7" s="48"/>
      <c r="E7" s="48"/>
      <c r="F7" s="48"/>
      <c r="G7" s="48"/>
      <c r="H7" s="48"/>
    </row>
    <row r="8">
      <c r="A8" s="48" t="str">
        <v>Reviewed by role</v>
      </c>
      <c r="B8" s="50" t="str">
        <v>{{reviewer_role}}</v>
      </c>
      <c r="C8" s="48"/>
      <c r="D8" s="48"/>
      <c r="E8" s="48"/>
      <c r="F8" s="48"/>
      <c r="G8" s="48"/>
      <c r="H8" s="48"/>
    </row>
    <row r="9">
      <c r="A9" s="48" t="str">
        <v>File status</v>
      </c>
      <c r="B9" s="48" t="str">
        <v>Working</v>
      </c>
      <c r="C9" s="48"/>
      <c r="D9" s="48"/>
      <c r="E9" s="48"/>
      <c r="F9" s="48"/>
      <c r="G9" s="48"/>
      <c r="H9" s="48"/>
    </row>
    <row r="10">
      <c r="A10" s="48"/>
      <c r="B10" s="48"/>
      <c r="C10" s="48"/>
      <c r="D10" s="48"/>
      <c r="E10" s="48"/>
      <c r="F10" s="48"/>
      <c r="G10" s="48"/>
      <c r="H10" s="48"/>
    </row>
    <row r="11">
      <c r="A11" s="49" t="str">
        <v>Close control</v>
      </c>
      <c r="B11" s="49" t="str">
        <v>Status</v>
      </c>
      <c r="C11" s="49" t="str">
        <v>Evidence reference</v>
      </c>
      <c r="D11" s="48"/>
      <c r="E11" s="48"/>
      <c r="F11" s="48"/>
      <c r="G11" s="48"/>
      <c r="H11" s="48"/>
    </row>
    <row r="12">
      <c r="A12" s="48" t="str">
        <v>Source population loaded</v>
      </c>
      <c r="B12" s="50" t="str">
        <v>Not started</v>
      </c>
      <c r="C12" s="50"/>
      <c r="D12" s="48"/>
      <c r="E12" s="48"/>
      <c r="F12" s="48"/>
      <c r="G12" s="48"/>
      <c r="H12" s="48"/>
    </row>
    <row r="13">
      <c r="A13" s="48" t="str">
        <v>Account mapping reviewed</v>
      </c>
      <c r="B13" s="50" t="str">
        <v>Not started</v>
      </c>
      <c r="C13" s="50"/>
      <c r="D13" s="48"/>
      <c r="E13" s="48"/>
      <c r="F13" s="48"/>
      <c r="G13" s="48"/>
      <c r="H13" s="48"/>
    </row>
    <row r="14">
      <c r="A14" s="48" t="str">
        <v>Reconciliation exceptions dispositioned</v>
      </c>
      <c r="B14" s="50" t="str">
        <v>Not started</v>
      </c>
      <c r="C14" s="50"/>
      <c r="D14" s="48"/>
      <c r="E14" s="48"/>
      <c r="F14" s="48"/>
      <c r="G14" s="48"/>
      <c r="H14" s="48"/>
    </row>
    <row r="15">
      <c r="A15" s="48" t="str">
        <v>Proposed entries balanced</v>
      </c>
      <c r="B15" s="50" t="str">
        <v>Not started</v>
      </c>
      <c r="C15" s="50"/>
      <c r="D15" s="48"/>
      <c r="E15" s="48"/>
      <c r="F15" s="48"/>
      <c r="G15" s="48"/>
      <c r="H15" s="48"/>
    </row>
    <row r="16">
      <c r="A16" s="48" t="str">
        <v>Controller review completed</v>
      </c>
      <c r="B16" s="50" t="str">
        <v>Not started</v>
      </c>
      <c r="C16" s="50"/>
      <c r="D16" s="48"/>
      <c r="E16" s="48"/>
      <c r="F16" s="48"/>
      <c r="G16" s="48"/>
      <c r="H16" s="48"/>
    </row>
  </sheetData>
  <mergeCells>
    <mergeCell ref="A1:H1"/>
    <mergeCell ref="A2:H2"/>
  </mergeCells>
  <dataValidations count="1">
    <dataValidation type="list" sqref="B12:B16">
      <formula1>"Not started,In progress,Complete,Not applicable"</formula1>
    </dataValidation>
  </dataValidations>
  <printOptions horizontalCentered="1"/>
  <pageMargins left="0.25" right="0.25" top="0.5" bottom="0.5" header="0.2" footer="0.2"/>
  <pageSetup paperSize="1" orientation="landscape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sheetViews>
    <sheetView showGridLines="0" workbookViewId="0">
      <pane ySplit="4" topLeftCell="A5" activePane="bottomLeft" state="frozen"/>
    </sheetView>
  </sheetViews>
  <sheetFormatPr defaultRowHeight="15"/>
  <cols>
    <col min="1" max="1" width="18" hidden="0" customWidth="1"/>
    <col min="2" max="2" width="18" hidden="0" customWidth="1"/>
    <col min="3" max="3" width="18" hidden="0" customWidth="1"/>
    <col min="4" max="4" width="18" hidden="0" customWidth="1"/>
    <col min="5" max="5" width="34" hidden="0" customWidth="1"/>
    <col min="6" max="6" width="18" hidden="0" customWidth="1"/>
    <col min="7" max="7" width="18" hidden="0" customWidth="1"/>
    <col min="8" max="8" width="18" hidden="0" customWidth="1"/>
  </cols>
  <sheetData>
    <row r="1" ht="28" customHeight="1">
      <c r="A1" s="46" t="str">
        <v>Source Data</v>
      </c>
      <c r="B1" s="46"/>
      <c r="C1" s="46"/>
      <c r="D1" s="46"/>
      <c r="E1" s="46"/>
      <c r="F1" s="46"/>
      <c r="G1" s="46"/>
      <c r="H1" s="46"/>
    </row>
    <row r="2" ht="30" customHeight="1">
      <c r="A2" s="47" t="str">
        <v>Paste or generate authorized transaction-level rows. Do not place conclusions in this source-system layer.</v>
      </c>
      <c r="B2" s="47"/>
      <c r="C2" s="47"/>
      <c r="D2" s="47"/>
      <c r="E2" s="47"/>
      <c r="F2" s="47"/>
      <c r="G2" s="47"/>
      <c r="H2" s="47"/>
    </row>
    <row r="3">
      <c r="A3" s="48"/>
      <c r="B3" s="48"/>
      <c r="C3" s="48"/>
      <c r="D3" s="48"/>
      <c r="E3" s="48"/>
      <c r="F3" s="48"/>
      <c r="G3" s="48"/>
      <c r="H3" s="48"/>
    </row>
    <row r="4">
      <c r="A4" s="51" t="str">
        <v>Source Row ID</v>
      </c>
      <c r="B4" s="51" t="str">
        <v>Entity Code</v>
      </c>
      <c r="C4" s="51" t="str">
        <v>Account Code</v>
      </c>
      <c r="D4" s="51" t="str">
        <v>Transaction Date</v>
      </c>
      <c r="E4" s="51" t="str">
        <v>Description</v>
      </c>
      <c r="F4" s="51" t="str">
        <v>Debit</v>
      </c>
      <c r="G4" s="51" t="str">
        <v>Credit</v>
      </c>
      <c r="H4" s="51" t="str">
        <v>Status Code</v>
      </c>
    </row>
    <row r="5">
      <c r="A5" s="52"/>
      <c r="B5" s="53"/>
      <c r="C5" s="53"/>
      <c r="D5" s="54"/>
      <c r="E5" s="53"/>
      <c r="F5" s="55"/>
      <c r="G5" s="55"/>
      <c r="H5" s="56"/>
    </row>
    <row r="6">
      <c r="A6" s="57"/>
      <c r="B6" s="58"/>
      <c r="C6" s="58"/>
      <c r="D6" s="59"/>
      <c r="E6" s="58"/>
      <c r="F6" s="60"/>
      <c r="G6" s="60"/>
      <c r="H6" s="61"/>
    </row>
    <row r="7">
      <c r="A7" s="57"/>
      <c r="B7" s="58"/>
      <c r="C7" s="58"/>
      <c r="D7" s="59"/>
      <c r="E7" s="58"/>
      <c r="F7" s="60"/>
      <c r="G7" s="60"/>
      <c r="H7" s="61"/>
    </row>
    <row r="8">
      <c r="A8" s="57"/>
      <c r="B8" s="58"/>
      <c r="C8" s="58"/>
      <c r="D8" s="59"/>
      <c r="E8" s="58"/>
      <c r="F8" s="60"/>
      <c r="G8" s="60"/>
      <c r="H8" s="61"/>
    </row>
    <row r="9">
      <c r="A9" s="57"/>
      <c r="B9" s="58"/>
      <c r="C9" s="58"/>
      <c r="D9" s="59"/>
      <c r="E9" s="58"/>
      <c r="F9" s="60"/>
      <c r="G9" s="60"/>
      <c r="H9" s="61"/>
    </row>
    <row r="10">
      <c r="A10" s="57"/>
      <c r="B10" s="58"/>
      <c r="C10" s="58"/>
      <c r="D10" s="59"/>
      <c r="E10" s="58"/>
      <c r="F10" s="60"/>
      <c r="G10" s="60"/>
      <c r="H10" s="61"/>
    </row>
    <row r="11">
      <c r="A11" s="57"/>
      <c r="B11" s="58"/>
      <c r="C11" s="58"/>
      <c r="D11" s="59"/>
      <c r="E11" s="58"/>
      <c r="F11" s="60"/>
      <c r="G11" s="60"/>
      <c r="H11" s="61"/>
    </row>
    <row r="12">
      <c r="A12" s="57"/>
      <c r="B12" s="58"/>
      <c r="C12" s="58"/>
      <c r="D12" s="59"/>
      <c r="E12" s="58"/>
      <c r="F12" s="60"/>
      <c r="G12" s="60"/>
      <c r="H12" s="61"/>
    </row>
    <row r="13">
      <c r="A13" s="57"/>
      <c r="B13" s="58"/>
      <c r="C13" s="58"/>
      <c r="D13" s="59"/>
      <c r="E13" s="58"/>
      <c r="F13" s="60"/>
      <c r="G13" s="60"/>
      <c r="H13" s="61"/>
    </row>
    <row r="14">
      <c r="A14" s="57"/>
      <c r="B14" s="58"/>
      <c r="C14" s="58"/>
      <c r="D14" s="59"/>
      <c r="E14" s="58"/>
      <c r="F14" s="60"/>
      <c r="G14" s="60"/>
      <c r="H14" s="61"/>
    </row>
    <row r="15">
      <c r="A15" s="57"/>
      <c r="B15" s="58"/>
      <c r="C15" s="58"/>
      <c r="D15" s="59"/>
      <c r="E15" s="58"/>
      <c r="F15" s="60"/>
      <c r="G15" s="60"/>
      <c r="H15" s="61"/>
    </row>
    <row r="16">
      <c r="A16" s="57"/>
      <c r="B16" s="58"/>
      <c r="C16" s="58"/>
      <c r="D16" s="59"/>
      <c r="E16" s="58"/>
      <c r="F16" s="60"/>
      <c r="G16" s="60"/>
      <c r="H16" s="61"/>
    </row>
    <row r="17">
      <c r="A17" s="57"/>
      <c r="B17" s="58"/>
      <c r="C17" s="58"/>
      <c r="D17" s="59"/>
      <c r="E17" s="58"/>
      <c r="F17" s="60"/>
      <c r="G17" s="60"/>
      <c r="H17" s="61"/>
    </row>
    <row r="18">
      <c r="A18" s="57"/>
      <c r="B18" s="58"/>
      <c r="C18" s="58"/>
      <c r="D18" s="59"/>
      <c r="E18" s="58"/>
      <c r="F18" s="60"/>
      <c r="G18" s="60"/>
      <c r="H18" s="61"/>
    </row>
    <row r="19">
      <c r="A19" s="57"/>
      <c r="B19" s="58"/>
      <c r="C19" s="58"/>
      <c r="D19" s="59"/>
      <c r="E19" s="58"/>
      <c r="F19" s="60"/>
      <c r="G19" s="60"/>
      <c r="H19" s="61"/>
    </row>
    <row r="20">
      <c r="A20" s="57"/>
      <c r="B20" s="58"/>
      <c r="C20" s="58"/>
      <c r="D20" s="59"/>
      <c r="E20" s="58"/>
      <c r="F20" s="60"/>
      <c r="G20" s="60"/>
      <c r="H20" s="61"/>
    </row>
    <row r="21">
      <c r="A21" s="57"/>
      <c r="B21" s="58"/>
      <c r="C21" s="58"/>
      <c r="D21" s="59"/>
      <c r="E21" s="58"/>
      <c r="F21" s="60"/>
      <c r="G21" s="60"/>
      <c r="H21" s="61"/>
    </row>
    <row r="22">
      <c r="A22" s="57"/>
      <c r="B22" s="58"/>
      <c r="C22" s="58"/>
      <c r="D22" s="59"/>
      <c r="E22" s="58"/>
      <c r="F22" s="60"/>
      <c r="G22" s="60"/>
      <c r="H22" s="61"/>
    </row>
    <row r="23">
      <c r="A23" s="57"/>
      <c r="B23" s="58"/>
      <c r="C23" s="58"/>
      <c r="D23" s="59"/>
      <c r="E23" s="58"/>
      <c r="F23" s="60"/>
      <c r="G23" s="60"/>
      <c r="H23" s="61"/>
    </row>
    <row r="24">
      <c r="A24" s="57"/>
      <c r="B24" s="58"/>
      <c r="C24" s="58"/>
      <c r="D24" s="59"/>
      <c r="E24" s="58"/>
      <c r="F24" s="60"/>
      <c r="G24" s="60"/>
      <c r="H24" s="61"/>
    </row>
    <row r="25">
      <c r="A25" s="57"/>
      <c r="B25" s="58"/>
      <c r="C25" s="58"/>
      <c r="D25" s="59"/>
      <c r="E25" s="58"/>
      <c r="F25" s="60"/>
      <c r="G25" s="60"/>
      <c r="H25" s="61"/>
    </row>
    <row r="26">
      <c r="A26" s="57"/>
      <c r="B26" s="58"/>
      <c r="C26" s="58"/>
      <c r="D26" s="59"/>
      <c r="E26" s="58"/>
      <c r="F26" s="60"/>
      <c r="G26" s="60"/>
      <c r="H26" s="61"/>
    </row>
    <row r="27">
      <c r="A27" s="57"/>
      <c r="B27" s="58"/>
      <c r="C27" s="58"/>
      <c r="D27" s="59"/>
      <c r="E27" s="58"/>
      <c r="F27" s="60"/>
      <c r="G27" s="60"/>
      <c r="H27" s="61"/>
    </row>
    <row r="28">
      <c r="A28" s="57"/>
      <c r="B28" s="58"/>
      <c r="C28" s="58"/>
      <c r="D28" s="59"/>
      <c r="E28" s="58"/>
      <c r="F28" s="60"/>
      <c r="G28" s="60"/>
      <c r="H28" s="61"/>
    </row>
    <row r="29">
      <c r="A29" s="62"/>
      <c r="B29" s="63"/>
      <c r="C29" s="63"/>
      <c r="D29" s="64"/>
      <c r="E29" s="63"/>
      <c r="F29" s="65"/>
      <c r="G29" s="65"/>
      <c r="H29" s="66"/>
    </row>
  </sheetData>
  <mergeCells>
    <mergeCell ref="A1:H1"/>
    <mergeCell ref="A2:H2"/>
  </mergeCells>
  <printOptions horizontalCentered="1"/>
  <pageMargins left="0.25" right="0.25" top="0.5" bottom="0.5" header="0.2" footer="0.2"/>
  <pageSetup paperSize="1" orientation="landscape" fitToWidth="1" fitToHeight="1"/>
  <tableParts count="1">
    <tablePart r:id="R5aa5eeb5edef4e74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sheetViews>
    <sheetView showGridLines="0" workbookViewId="0">
      <pane ySplit="4" topLeftCell="A5" activePane="bottomLeft" state="frozen"/>
    </sheetView>
  </sheetViews>
  <sheetFormatPr defaultRowHeight="15"/>
  <cols>
    <col min="1" max="1" width="24" hidden="0" customWidth="1"/>
    <col min="2" max="2" width="24" hidden="0" customWidth="1"/>
    <col min="3" max="3" width="24" hidden="0" customWidth="1"/>
    <col min="4" max="4" width="24" hidden="0" customWidth="1"/>
    <col min="5" max="5" width="24" hidden="0" customWidth="1"/>
  </cols>
  <sheetData>
    <row r="1" ht="28" customHeight="1">
      <c r="A1" s="46" t="str">
        <v>Account Mapping</v>
      </c>
      <c r="B1" s="46"/>
      <c r="C1" s="46"/>
      <c r="D1" s="46"/>
      <c r="E1" s="46"/>
      <c r="F1" s="46"/>
      <c r="G1" s="46"/>
      <c r="H1" s="46"/>
    </row>
    <row r="2" ht="30" customHeight="1">
      <c r="A2" s="47" t="str">
        <v>Map source codes to the reporting structure. Mapping fields are inputs, not inferred authority.</v>
      </c>
      <c r="B2" s="47"/>
      <c r="C2" s="47"/>
      <c r="D2" s="47"/>
      <c r="E2" s="47"/>
      <c r="F2" s="47"/>
      <c r="G2" s="47"/>
      <c r="H2" s="47"/>
    </row>
    <row r="3">
      <c r="A3" s="48"/>
      <c r="B3" s="48"/>
      <c r="C3" s="48"/>
      <c r="D3" s="48"/>
      <c r="E3" s="48"/>
      <c r="F3" s="48"/>
      <c r="G3" s="48"/>
      <c r="H3" s="48"/>
    </row>
    <row r="4">
      <c r="A4" s="49" t="str">
        <v>Account Code</v>
      </c>
      <c r="B4" s="49" t="str">
        <v>Account Name</v>
      </c>
      <c r="C4" s="49" t="str">
        <v>Statement Group</v>
      </c>
      <c r="D4" s="49" t="str">
        <v>Reconciliation Owner Role</v>
      </c>
      <c r="E4" s="49" t="str">
        <v>Active?</v>
      </c>
      <c r="F4" s="48"/>
      <c r="G4" s="48"/>
      <c r="H4" s="48"/>
    </row>
    <row r="5">
      <c r="A5" s="50"/>
      <c r="B5" s="50"/>
      <c r="C5" s="50"/>
      <c r="D5" s="50"/>
      <c r="E5" s="50"/>
      <c r="F5" s="48"/>
      <c r="G5" s="48"/>
      <c r="H5" s="48"/>
    </row>
    <row r="6">
      <c r="A6" s="50"/>
      <c r="B6" s="50"/>
      <c r="C6" s="50"/>
      <c r="D6" s="50"/>
      <c r="E6" s="50"/>
      <c r="F6" s="48"/>
      <c r="G6" s="48"/>
      <c r="H6" s="48"/>
    </row>
    <row r="7">
      <c r="A7" s="50"/>
      <c r="B7" s="50"/>
      <c r="C7" s="50"/>
      <c r="D7" s="50"/>
      <c r="E7" s="50"/>
      <c r="F7" s="48"/>
      <c r="G7" s="48"/>
      <c r="H7" s="48"/>
    </row>
    <row r="8">
      <c r="A8" s="50"/>
      <c r="B8" s="50"/>
      <c r="C8" s="50"/>
      <c r="D8" s="50"/>
      <c r="E8" s="50"/>
      <c r="F8" s="48"/>
      <c r="G8" s="48"/>
      <c r="H8" s="48"/>
    </row>
    <row r="9">
      <c r="A9" s="50"/>
      <c r="B9" s="50"/>
      <c r="C9" s="50"/>
      <c r="D9" s="50"/>
      <c r="E9" s="50"/>
      <c r="F9" s="48"/>
      <c r="G9" s="48"/>
      <c r="H9" s="48"/>
    </row>
    <row r="10">
      <c r="A10" s="50"/>
      <c r="B10" s="50"/>
      <c r="C10" s="50"/>
      <c r="D10" s="50"/>
      <c r="E10" s="50"/>
      <c r="F10" s="48"/>
      <c r="G10" s="48"/>
      <c r="H10" s="48"/>
    </row>
    <row r="11">
      <c r="A11" s="50"/>
      <c r="B11" s="50"/>
      <c r="C11" s="50"/>
      <c r="D11" s="50"/>
      <c r="E11" s="50"/>
      <c r="F11" s="48"/>
      <c r="G11" s="48"/>
      <c r="H11" s="48"/>
    </row>
    <row r="12">
      <c r="A12" s="50"/>
      <c r="B12" s="50"/>
      <c r="C12" s="50"/>
      <c r="D12" s="50"/>
      <c r="E12" s="50"/>
      <c r="F12" s="48"/>
      <c r="G12" s="48"/>
      <c r="H12" s="48"/>
    </row>
    <row r="13">
      <c r="A13" s="50"/>
      <c r="B13" s="50"/>
      <c r="C13" s="50"/>
      <c r="D13" s="50"/>
      <c r="E13" s="50"/>
      <c r="F13" s="48"/>
      <c r="G13" s="48"/>
      <c r="H13" s="48"/>
    </row>
    <row r="14">
      <c r="A14" s="50"/>
      <c r="B14" s="50"/>
      <c r="C14" s="50"/>
      <c r="D14" s="50"/>
      <c r="E14" s="50"/>
      <c r="F14" s="48"/>
      <c r="G14" s="48"/>
      <c r="H14" s="48"/>
    </row>
    <row r="15">
      <c r="A15" s="50"/>
      <c r="B15" s="50"/>
      <c r="C15" s="50"/>
      <c r="D15" s="50"/>
      <c r="E15" s="50"/>
      <c r="F15" s="48"/>
      <c r="G15" s="48"/>
      <c r="H15" s="48"/>
    </row>
    <row r="16">
      <c r="A16" s="50"/>
      <c r="B16" s="50"/>
      <c r="C16" s="50"/>
      <c r="D16" s="50"/>
      <c r="E16" s="50"/>
      <c r="F16" s="48"/>
      <c r="G16" s="48"/>
      <c r="H16" s="48"/>
    </row>
    <row r="17">
      <c r="A17" s="50"/>
      <c r="B17" s="50"/>
      <c r="C17" s="50"/>
      <c r="D17" s="50"/>
      <c r="E17" s="50"/>
      <c r="F17" s="48"/>
      <c r="G17" s="48"/>
      <c r="H17" s="48"/>
    </row>
    <row r="18">
      <c r="A18" s="50"/>
      <c r="B18" s="50"/>
      <c r="C18" s="50"/>
      <c r="D18" s="50"/>
      <c r="E18" s="50"/>
      <c r="F18" s="48"/>
      <c r="G18" s="48"/>
      <c r="H18" s="48"/>
    </row>
    <row r="19">
      <c r="A19" s="50"/>
      <c r="B19" s="50"/>
      <c r="C19" s="50"/>
      <c r="D19" s="50"/>
      <c r="E19" s="50"/>
      <c r="F19" s="48"/>
      <c r="G19" s="48"/>
      <c r="H19" s="48"/>
    </row>
    <row r="20">
      <c r="A20" s="50"/>
      <c r="B20" s="50"/>
      <c r="C20" s="50"/>
      <c r="D20" s="50"/>
      <c r="E20" s="50"/>
      <c r="F20" s="48"/>
      <c r="G20" s="48"/>
      <c r="H20" s="48"/>
    </row>
    <row r="21">
      <c r="A21" s="50"/>
      <c r="B21" s="50"/>
      <c r="C21" s="50"/>
      <c r="D21" s="50"/>
      <c r="E21" s="50"/>
      <c r="F21" s="48"/>
      <c r="G21" s="48"/>
      <c r="H21" s="48"/>
    </row>
    <row r="22">
      <c r="A22" s="50"/>
      <c r="B22" s="50"/>
      <c r="C22" s="50"/>
      <c r="D22" s="50"/>
      <c r="E22" s="50"/>
      <c r="F22" s="48"/>
      <c r="G22" s="48"/>
      <c r="H22" s="48"/>
    </row>
    <row r="23">
      <c r="A23" s="50"/>
      <c r="B23" s="50"/>
      <c r="C23" s="50"/>
      <c r="D23" s="50"/>
      <c r="E23" s="50"/>
      <c r="F23" s="48"/>
      <c r="G23" s="48"/>
      <c r="H23" s="48"/>
    </row>
    <row r="24">
      <c r="A24" s="50"/>
      <c r="B24" s="50"/>
      <c r="C24" s="50"/>
      <c r="D24" s="50"/>
      <c r="E24" s="50"/>
      <c r="F24" s="48"/>
      <c r="G24" s="48"/>
      <c r="H24" s="48"/>
    </row>
    <row r="25">
      <c r="A25" s="50"/>
      <c r="B25" s="50"/>
      <c r="C25" s="50"/>
      <c r="D25" s="50"/>
      <c r="E25" s="50"/>
      <c r="F25" s="48"/>
      <c r="G25" s="48"/>
      <c r="H25" s="48"/>
    </row>
    <row r="26">
      <c r="A26" s="50"/>
      <c r="B26" s="50"/>
      <c r="C26" s="50"/>
      <c r="D26" s="50"/>
      <c r="E26" s="50"/>
      <c r="F26" s="48"/>
      <c r="G26" s="48"/>
      <c r="H26" s="48"/>
    </row>
    <row r="27">
      <c r="A27" s="50"/>
      <c r="B27" s="50"/>
      <c r="C27" s="50"/>
      <c r="D27" s="50"/>
      <c r="E27" s="50"/>
      <c r="F27" s="48"/>
      <c r="G27" s="48"/>
      <c r="H27" s="48"/>
    </row>
    <row r="28">
      <c r="A28" s="50"/>
      <c r="B28" s="50"/>
      <c r="C28" s="50"/>
      <c r="D28" s="50"/>
      <c r="E28" s="50"/>
      <c r="F28" s="48"/>
      <c r="G28" s="48"/>
      <c r="H28" s="48"/>
    </row>
    <row r="29">
      <c r="A29" s="50"/>
      <c r="B29" s="50"/>
      <c r="C29" s="50"/>
      <c r="D29" s="50"/>
      <c r="E29" s="50"/>
      <c r="F29" s="48"/>
      <c r="G29" s="48"/>
      <c r="H29" s="48"/>
    </row>
  </sheetData>
  <mergeCells>
    <mergeCell ref="A1:H1"/>
    <mergeCell ref="A2:H2"/>
  </mergeCells>
  <dataValidations count="1">
    <dataValidation type="list" sqref="E5:E29">
      <formula1>"Yes,No"</formula1>
    </dataValidation>
  </dataValidations>
  <printOptions horizontalCentered="1"/>
  <pageMargins left="0.25" right="0.25" top="0.5" bottom="0.5" header="0.2" footer="0.2"/>
  <pageSetup paperSize="1" orientation="portrait" fitToWidth="1" fitToHeight="1"/>
  <tableParts count="1">
    <tablePart r:id="Rfcbc89ad489c4418"/>
  </tableParts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sheetViews>
    <sheetView showGridLines="0" workbookViewId="0">
      <pane ySplit="4" topLeftCell="A5" activePane="bottomLeft" state="frozen"/>
    </sheetView>
  </sheetViews>
  <sheetFormatPr defaultRowHeight="15"/>
  <cols>
    <col min="1" max="1" width="18" hidden="0" customWidth="1"/>
    <col min="2" max="2" width="18" hidden="0" customWidth="1"/>
    <col min="3" max="3" width="18" hidden="0" customWidth="1"/>
    <col min="4" max="4" width="18" hidden="0" customWidth="1"/>
    <col min="5" max="5" width="18" hidden="0" customWidth="1"/>
    <col min="6" max="6" width="18" hidden="0" customWidth="1"/>
    <col min="7" max="7" width="18" hidden="0" customWidth="1"/>
    <col min="8" max="8" width="38" hidden="0" customWidth="1"/>
  </cols>
  <sheetData>
    <row r="1" ht="28" customHeight="1">
      <c r="A1" s="46" t="str">
        <v>Reconciliation</v>
      </c>
      <c r="B1" s="46"/>
      <c r="C1" s="46"/>
      <c r="D1" s="46"/>
      <c r="E1" s="46"/>
      <c r="F1" s="46"/>
      <c r="G1" s="46"/>
      <c r="H1" s="46"/>
    </row>
    <row r="2" ht="30" customHeight="1">
      <c r="A2" s="47" t="str">
        <v>Formula-driven comparison of source activity and ledger balance by mapped account.</v>
      </c>
      <c r="B2" s="47"/>
      <c r="C2" s="47"/>
      <c r="D2" s="47"/>
      <c r="E2" s="47"/>
      <c r="F2" s="47"/>
      <c r="G2" s="47"/>
      <c r="H2" s="47"/>
    </row>
    <row r="3">
      <c r="A3" s="48"/>
      <c r="B3" s="48"/>
      <c r="C3" s="48"/>
      <c r="D3" s="48"/>
      <c r="E3" s="48"/>
      <c r="F3" s="48"/>
      <c r="G3" s="48"/>
      <c r="H3" s="48"/>
    </row>
    <row r="4">
      <c r="A4" s="49" t="str">
        <v>Account Code</v>
      </c>
      <c r="B4" s="49" t="str">
        <v>Account Name</v>
      </c>
      <c r="C4" s="49" t="str">
        <v>Source Net</v>
      </c>
      <c r="D4" s="49" t="str">
        <v>Ledger Balance</v>
      </c>
      <c r="E4" s="49" t="str">
        <v>Difference</v>
      </c>
      <c r="F4" s="49" t="str">
        <v>Threshold</v>
      </c>
      <c r="G4" s="49" t="str">
        <v>Status</v>
      </c>
      <c r="H4" s="49" t="str">
        <v>Explanation / Action</v>
      </c>
    </row>
    <row r="5">
      <c r="A5" s="50"/>
      <c r="B5" s="50"/>
      <c r="C5" s="67" t="n">
        <f>SUMIFS('Source_Data'!$F$5:$F$29,'Source_Data'!$C$5:$C$29,A5)-SUMIFS('Source_Data'!$G$5:$G$29,'Source_Data'!$C$5:$C$29,A5)</f>
        <v>0</v>
      </c>
      <c r="D5" s="68"/>
      <c r="E5" s="67" t="n">
        <f>C5-D5</f>
        <v>0</v>
      </c>
      <c r="F5" s="68"/>
      <c r="G5" s="48" t="str">
        <f>IF(ABS(E5)&lt;=F5,"PASS","REVIEW")</f>
        <v>PASS</v>
      </c>
      <c r="H5" s="50"/>
    </row>
    <row r="6">
      <c r="A6" s="50"/>
      <c r="B6" s="50"/>
      <c r="C6" s="67" t="n">
        <f>SUMIFS('Source_Data'!$F$5:$F$29,'Source_Data'!$C$5:$C$29,A6)-SUMIFS('Source_Data'!$G$5:$G$29,'Source_Data'!$C$5:$C$29,A6)</f>
        <v>0</v>
      </c>
      <c r="D6" s="68"/>
      <c r="E6" s="67" t="n">
        <f>C6-D6</f>
        <v>0</v>
      </c>
      <c r="F6" s="68"/>
      <c r="G6" s="48" t="str">
        <f>IF(ABS(E6)&lt;=F6,"PASS","REVIEW")</f>
        <v>PASS</v>
      </c>
      <c r="H6" s="50"/>
    </row>
    <row r="7">
      <c r="A7" s="50"/>
      <c r="B7" s="50"/>
      <c r="C7" s="67" t="n">
        <f>SUMIFS('Source_Data'!$F$5:$F$29,'Source_Data'!$C$5:$C$29,A7)-SUMIFS('Source_Data'!$G$5:$G$29,'Source_Data'!$C$5:$C$29,A7)</f>
        <v>0</v>
      </c>
      <c r="D7" s="68"/>
      <c r="E7" s="67" t="n">
        <f>C7-D7</f>
        <v>0</v>
      </c>
      <c r="F7" s="68"/>
      <c r="G7" s="48" t="str">
        <f>IF(ABS(E7)&lt;=F7,"PASS","REVIEW")</f>
        <v>PASS</v>
      </c>
      <c r="H7" s="50"/>
    </row>
    <row r="8">
      <c r="A8" s="50"/>
      <c r="B8" s="50"/>
      <c r="C8" s="67" t="n">
        <f>SUMIFS('Source_Data'!$F$5:$F$29,'Source_Data'!$C$5:$C$29,A8)-SUMIFS('Source_Data'!$G$5:$G$29,'Source_Data'!$C$5:$C$29,A8)</f>
        <v>0</v>
      </c>
      <c r="D8" s="68"/>
      <c r="E8" s="67" t="n">
        <f>C8-D8</f>
        <v>0</v>
      </c>
      <c r="F8" s="68"/>
      <c r="G8" s="48" t="str">
        <f>IF(ABS(E8)&lt;=F8,"PASS","REVIEW")</f>
        <v>PASS</v>
      </c>
      <c r="H8" s="50"/>
    </row>
    <row r="9">
      <c r="A9" s="50"/>
      <c r="B9" s="50"/>
      <c r="C9" s="67" t="n">
        <f>SUMIFS('Source_Data'!$F$5:$F$29,'Source_Data'!$C$5:$C$29,A9)-SUMIFS('Source_Data'!$G$5:$G$29,'Source_Data'!$C$5:$C$29,A9)</f>
        <v>0</v>
      </c>
      <c r="D9" s="68"/>
      <c r="E9" s="67" t="n">
        <f>C9-D9</f>
        <v>0</v>
      </c>
      <c r="F9" s="68"/>
      <c r="G9" s="48" t="str">
        <f>IF(ABS(E9)&lt;=F9,"PASS","REVIEW")</f>
        <v>PASS</v>
      </c>
      <c r="H9" s="50"/>
    </row>
    <row r="10">
      <c r="A10" s="50"/>
      <c r="B10" s="50"/>
      <c r="C10" s="67" t="n">
        <f>SUMIFS('Source_Data'!$F$5:$F$29,'Source_Data'!$C$5:$C$29,A10)-SUMIFS('Source_Data'!$G$5:$G$29,'Source_Data'!$C$5:$C$29,A10)</f>
        <v>0</v>
      </c>
      <c r="D10" s="68"/>
      <c r="E10" s="67" t="n">
        <f>C10-D10</f>
        <v>0</v>
      </c>
      <c r="F10" s="68"/>
      <c r="G10" s="48" t="str">
        <f>IF(ABS(E10)&lt;=F10,"PASS","REVIEW")</f>
        <v>PASS</v>
      </c>
      <c r="H10" s="50"/>
    </row>
    <row r="11">
      <c r="A11" s="50"/>
      <c r="B11" s="50"/>
      <c r="C11" s="67" t="n">
        <f>SUMIFS('Source_Data'!$F$5:$F$29,'Source_Data'!$C$5:$C$29,A11)-SUMIFS('Source_Data'!$G$5:$G$29,'Source_Data'!$C$5:$C$29,A11)</f>
        <v>0</v>
      </c>
      <c r="D11" s="68"/>
      <c r="E11" s="67" t="n">
        <f>C11-D11</f>
        <v>0</v>
      </c>
      <c r="F11" s="68"/>
      <c r="G11" s="48" t="str">
        <f>IF(ABS(E11)&lt;=F11,"PASS","REVIEW")</f>
        <v>PASS</v>
      </c>
      <c r="H11" s="50"/>
    </row>
    <row r="12">
      <c r="A12" s="50"/>
      <c r="B12" s="50"/>
      <c r="C12" s="67" t="n">
        <f>SUMIFS('Source_Data'!$F$5:$F$29,'Source_Data'!$C$5:$C$29,A12)-SUMIFS('Source_Data'!$G$5:$G$29,'Source_Data'!$C$5:$C$29,A12)</f>
        <v>0</v>
      </c>
      <c r="D12" s="68"/>
      <c r="E12" s="67" t="n">
        <f>C12-D12</f>
        <v>0</v>
      </c>
      <c r="F12" s="68"/>
      <c r="G12" s="48" t="str">
        <f>IF(ABS(E12)&lt;=F12,"PASS","REVIEW")</f>
        <v>PASS</v>
      </c>
      <c r="H12" s="50"/>
    </row>
    <row r="13">
      <c r="A13" s="50"/>
      <c r="B13" s="50"/>
      <c r="C13" s="67" t="n">
        <f>SUMIFS('Source_Data'!$F$5:$F$29,'Source_Data'!$C$5:$C$29,A13)-SUMIFS('Source_Data'!$G$5:$G$29,'Source_Data'!$C$5:$C$29,A13)</f>
        <v>0</v>
      </c>
      <c r="D13" s="68"/>
      <c r="E13" s="67" t="n">
        <f>C13-D13</f>
        <v>0</v>
      </c>
      <c r="F13" s="68"/>
      <c r="G13" s="48" t="str">
        <f>IF(ABS(E13)&lt;=F13,"PASS","REVIEW")</f>
        <v>PASS</v>
      </c>
      <c r="H13" s="50"/>
    </row>
    <row r="14">
      <c r="A14" s="50"/>
      <c r="B14" s="50"/>
      <c r="C14" s="67" t="n">
        <f>SUMIFS('Source_Data'!$F$5:$F$29,'Source_Data'!$C$5:$C$29,A14)-SUMIFS('Source_Data'!$G$5:$G$29,'Source_Data'!$C$5:$C$29,A14)</f>
        <v>0</v>
      </c>
      <c r="D14" s="68"/>
      <c r="E14" s="67" t="n">
        <f>C14-D14</f>
        <v>0</v>
      </c>
      <c r="F14" s="68"/>
      <c r="G14" s="48" t="str">
        <f>IF(ABS(E14)&lt;=F14,"PASS","REVIEW")</f>
        <v>PASS</v>
      </c>
      <c r="H14" s="50"/>
    </row>
    <row r="15">
      <c r="A15" s="50"/>
      <c r="B15" s="50"/>
      <c r="C15" s="67" t="n">
        <f>SUMIFS('Source_Data'!$F$5:$F$29,'Source_Data'!$C$5:$C$29,A15)-SUMIFS('Source_Data'!$G$5:$G$29,'Source_Data'!$C$5:$C$29,A15)</f>
        <v>0</v>
      </c>
      <c r="D15" s="68"/>
      <c r="E15" s="67" t="n">
        <f>C15-D15</f>
        <v>0</v>
      </c>
      <c r="F15" s="68"/>
      <c r="G15" s="48" t="str">
        <f>IF(ABS(E15)&lt;=F15,"PASS","REVIEW")</f>
        <v>PASS</v>
      </c>
      <c r="H15" s="50"/>
    </row>
    <row r="16">
      <c r="A16" s="50"/>
      <c r="B16" s="50"/>
      <c r="C16" s="67" t="n">
        <f>SUMIFS('Source_Data'!$F$5:$F$29,'Source_Data'!$C$5:$C$29,A16)-SUMIFS('Source_Data'!$G$5:$G$29,'Source_Data'!$C$5:$C$29,A16)</f>
        <v>0</v>
      </c>
      <c r="D16" s="68"/>
      <c r="E16" s="67" t="n">
        <f>C16-D16</f>
        <v>0</v>
      </c>
      <c r="F16" s="68"/>
      <c r="G16" s="48" t="str">
        <f>IF(ABS(E16)&lt;=F16,"PASS","REVIEW")</f>
        <v>PASS</v>
      </c>
      <c r="H16" s="50"/>
    </row>
    <row r="17">
      <c r="A17" s="50"/>
      <c r="B17" s="50"/>
      <c r="C17" s="67" t="n">
        <f>SUMIFS('Source_Data'!$F$5:$F$29,'Source_Data'!$C$5:$C$29,A17)-SUMIFS('Source_Data'!$G$5:$G$29,'Source_Data'!$C$5:$C$29,A17)</f>
        <v>0</v>
      </c>
      <c r="D17" s="68"/>
      <c r="E17" s="67" t="n">
        <f>C17-D17</f>
        <v>0</v>
      </c>
      <c r="F17" s="68"/>
      <c r="G17" s="48" t="str">
        <f>IF(ABS(E17)&lt;=F17,"PASS","REVIEW")</f>
        <v>PASS</v>
      </c>
      <c r="H17" s="50"/>
    </row>
    <row r="18">
      <c r="A18" s="50"/>
      <c r="B18" s="50"/>
      <c r="C18" s="67" t="n">
        <f>SUMIFS('Source_Data'!$F$5:$F$29,'Source_Data'!$C$5:$C$29,A18)-SUMIFS('Source_Data'!$G$5:$G$29,'Source_Data'!$C$5:$C$29,A18)</f>
        <v>0</v>
      </c>
      <c r="D18" s="68"/>
      <c r="E18" s="67" t="n">
        <f>C18-D18</f>
        <v>0</v>
      </c>
      <c r="F18" s="68"/>
      <c r="G18" s="48" t="str">
        <f>IF(ABS(E18)&lt;=F18,"PASS","REVIEW")</f>
        <v>PASS</v>
      </c>
      <c r="H18" s="50"/>
    </row>
    <row r="19">
      <c r="A19" s="50"/>
      <c r="B19" s="50"/>
      <c r="C19" s="67" t="n">
        <f>SUMIFS('Source_Data'!$F$5:$F$29,'Source_Data'!$C$5:$C$29,A19)-SUMIFS('Source_Data'!$G$5:$G$29,'Source_Data'!$C$5:$C$29,A19)</f>
        <v>0</v>
      </c>
      <c r="D19" s="68"/>
      <c r="E19" s="67" t="n">
        <f>C19-D19</f>
        <v>0</v>
      </c>
      <c r="F19" s="68"/>
      <c r="G19" s="48" t="str">
        <f>IF(ABS(E19)&lt;=F19,"PASS","REVIEW")</f>
        <v>PASS</v>
      </c>
      <c r="H19" s="50"/>
    </row>
    <row r="20">
      <c r="A20" s="50"/>
      <c r="B20" s="50"/>
      <c r="C20" s="67" t="n">
        <f>SUMIFS('Source_Data'!$F$5:$F$29,'Source_Data'!$C$5:$C$29,A20)-SUMIFS('Source_Data'!$G$5:$G$29,'Source_Data'!$C$5:$C$29,A20)</f>
        <v>0</v>
      </c>
      <c r="D20" s="68"/>
      <c r="E20" s="67" t="n">
        <f>C20-D20</f>
        <v>0</v>
      </c>
      <c r="F20" s="68"/>
      <c r="G20" s="48" t="str">
        <f>IF(ABS(E20)&lt;=F20,"PASS","REVIEW")</f>
        <v>PASS</v>
      </c>
      <c r="H20" s="50"/>
    </row>
    <row r="21">
      <c r="A21" s="50"/>
      <c r="B21" s="50"/>
      <c r="C21" s="67" t="n">
        <f>SUMIFS('Source_Data'!$F$5:$F$29,'Source_Data'!$C$5:$C$29,A21)-SUMIFS('Source_Data'!$G$5:$G$29,'Source_Data'!$C$5:$C$29,A21)</f>
        <v>0</v>
      </c>
      <c r="D21" s="68"/>
      <c r="E21" s="67" t="n">
        <f>C21-D21</f>
        <v>0</v>
      </c>
      <c r="F21" s="68"/>
      <c r="G21" s="48" t="str">
        <f>IF(ABS(E21)&lt;=F21,"PASS","REVIEW")</f>
        <v>PASS</v>
      </c>
      <c r="H21" s="50"/>
    </row>
    <row r="22">
      <c r="A22" s="50"/>
      <c r="B22" s="50"/>
      <c r="C22" s="67" t="n">
        <f>SUMIFS('Source_Data'!$F$5:$F$29,'Source_Data'!$C$5:$C$29,A22)-SUMIFS('Source_Data'!$G$5:$G$29,'Source_Data'!$C$5:$C$29,A22)</f>
        <v>0</v>
      </c>
      <c r="D22" s="68"/>
      <c r="E22" s="67" t="n">
        <f>C22-D22</f>
        <v>0</v>
      </c>
      <c r="F22" s="68"/>
      <c r="G22" s="48" t="str">
        <f>IF(ABS(E22)&lt;=F22,"PASS","REVIEW")</f>
        <v>PASS</v>
      </c>
      <c r="H22" s="50"/>
    </row>
    <row r="23">
      <c r="A23" s="50"/>
      <c r="B23" s="50"/>
      <c r="C23" s="67" t="n">
        <f>SUMIFS('Source_Data'!$F$5:$F$29,'Source_Data'!$C$5:$C$29,A23)-SUMIFS('Source_Data'!$G$5:$G$29,'Source_Data'!$C$5:$C$29,A23)</f>
        <v>0</v>
      </c>
      <c r="D23" s="68"/>
      <c r="E23" s="67" t="n">
        <f>C23-D23</f>
        <v>0</v>
      </c>
      <c r="F23" s="68"/>
      <c r="G23" s="48" t="str">
        <f>IF(ABS(E23)&lt;=F23,"PASS","REVIEW")</f>
        <v>PASS</v>
      </c>
      <c r="H23" s="50"/>
    </row>
    <row r="24">
      <c r="A24" s="50"/>
      <c r="B24" s="50"/>
      <c r="C24" s="67" t="n">
        <f>SUMIFS('Source_Data'!$F$5:$F$29,'Source_Data'!$C$5:$C$29,A24)-SUMIFS('Source_Data'!$G$5:$G$29,'Source_Data'!$C$5:$C$29,A24)</f>
        <v>0</v>
      </c>
      <c r="D24" s="68"/>
      <c r="E24" s="67" t="n">
        <f>C24-D24</f>
        <v>0</v>
      </c>
      <c r="F24" s="68"/>
      <c r="G24" s="48" t="str">
        <f>IF(ABS(E24)&lt;=F24,"PASS","REVIEW")</f>
        <v>PASS</v>
      </c>
      <c r="H24" s="50"/>
    </row>
  </sheetData>
  <mergeCells>
    <mergeCell ref="A1:H1"/>
    <mergeCell ref="A2:H2"/>
  </mergeCells>
  <conditionalFormatting sqref="G5:G24">
    <cfRule type="containsText" dxfId="0" priority="1" operator="containsText" text="PASS"/>
    <cfRule type="containsText" dxfId="1" priority="2" operator="containsText" text="REVIEW"/>
  </conditionalFormatting>
  <printOptions horizontalCentered="1"/>
  <pageMargins left="0.25" right="0.25" top="0.5" bottom="0.5" header="0.2" footer="0.2"/>
  <pageSetup paperSize="1" orientation="landscape" fitToWidth="1" fitToHeight="1"/>
  <tableParts count="1">
    <tablePart r:id="Rcceffbf57d5a4858"/>
  </tableParts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sheetViews>
    <sheetView showGridLines="0" workbookViewId="0">
      <pane ySplit="4" topLeftCell="A5" activePane="bottomLeft" state="frozen"/>
    </sheetView>
  </sheetViews>
  <sheetFormatPr defaultRowHeight="15"/>
  <cols>
    <col min="3" max="3" width="32" hidden="0" customWidth="1"/>
    <col min="1" max="1" width="18" hidden="0" customWidth="1"/>
    <col min="2" max="2" width="18" hidden="0" customWidth="1"/>
    <col min="4" max="4" width="20" hidden="0" customWidth="1"/>
    <col min="5" max="5" width="20" hidden="0" customWidth="1"/>
    <col min="6" max="6" width="20" hidden="0" customWidth="1"/>
    <col min="7" max="7" width="20" hidden="0" customWidth="1"/>
    <col min="8" max="8" width="20" hidden="0" customWidth="1"/>
  </cols>
  <sheetData>
    <row r="1" ht="28" customHeight="1">
      <c r="A1" s="46" t="str">
        <v>Proposed Entries</v>
      </c>
      <c r="B1" s="46"/>
      <c r="C1" s="46"/>
      <c r="D1" s="46"/>
      <c r="E1" s="46"/>
      <c r="F1" s="46"/>
      <c r="G1" s="46"/>
      <c r="H1" s="46"/>
    </row>
    <row r="2" ht="30" customHeight="1">
      <c r="A2" s="47" t="str">
        <v>Build entries only from resolved reconciliation differences and authorized adjustments.</v>
      </c>
      <c r="B2" s="47"/>
      <c r="C2" s="47"/>
      <c r="D2" s="47"/>
      <c r="E2" s="47"/>
      <c r="F2" s="47"/>
      <c r="G2" s="47"/>
      <c r="H2" s="47"/>
    </row>
    <row r="3">
      <c r="A3" s="48"/>
      <c r="B3" s="48"/>
      <c r="C3" s="48"/>
      <c r="D3" s="48"/>
      <c r="E3" s="48"/>
      <c r="F3" s="48"/>
      <c r="G3" s="48"/>
      <c r="H3" s="48"/>
    </row>
    <row r="4">
      <c r="A4" s="49" t="str">
        <v>Entry ID</v>
      </c>
      <c r="B4" s="49" t="str">
        <v>Account Code</v>
      </c>
      <c r="C4" s="49" t="str">
        <v>Description</v>
      </c>
      <c r="D4" s="49" t="str">
        <v>Debit</v>
      </c>
      <c r="E4" s="49" t="str">
        <v>Credit</v>
      </c>
      <c r="F4" s="49" t="str">
        <v>Source Reference</v>
      </c>
      <c r="G4" s="49" t="str">
        <v>Preparation Status</v>
      </c>
      <c r="H4" s="49" t="str">
        <v>Review Note</v>
      </c>
    </row>
    <row r="5">
      <c r="A5" s="50"/>
      <c r="B5" s="50"/>
      <c r="C5" s="50"/>
      <c r="D5" s="68"/>
      <c r="E5" s="68"/>
      <c r="F5" s="50"/>
      <c r="G5" s="50"/>
      <c r="H5" s="50"/>
    </row>
    <row r="6">
      <c r="A6" s="50"/>
      <c r="B6" s="50"/>
      <c r="C6" s="50"/>
      <c r="D6" s="68"/>
      <c r="E6" s="68"/>
      <c r="F6" s="50"/>
      <c r="G6" s="50"/>
      <c r="H6" s="50"/>
    </row>
    <row r="7">
      <c r="A7" s="50"/>
      <c r="B7" s="50"/>
      <c r="C7" s="50"/>
      <c r="D7" s="68"/>
      <c r="E7" s="68"/>
      <c r="F7" s="50"/>
      <c r="G7" s="50"/>
      <c r="H7" s="50"/>
    </row>
    <row r="8">
      <c r="A8" s="50"/>
      <c r="B8" s="50"/>
      <c r="C8" s="50"/>
      <c r="D8" s="68"/>
      <c r="E8" s="68"/>
      <c r="F8" s="50"/>
      <c r="G8" s="50"/>
      <c r="H8" s="50"/>
    </row>
    <row r="9">
      <c r="A9" s="50"/>
      <c r="B9" s="50"/>
      <c r="C9" s="50"/>
      <c r="D9" s="68"/>
      <c r="E9" s="68"/>
      <c r="F9" s="50"/>
      <c r="G9" s="50"/>
      <c r="H9" s="50"/>
    </row>
    <row r="10">
      <c r="A10" s="50"/>
      <c r="B10" s="50"/>
      <c r="C10" s="50"/>
      <c r="D10" s="68"/>
      <c r="E10" s="68"/>
      <c r="F10" s="50"/>
      <c r="G10" s="50"/>
      <c r="H10" s="50"/>
    </row>
    <row r="11">
      <c r="A11" s="50"/>
      <c r="B11" s="50"/>
      <c r="C11" s="50"/>
      <c r="D11" s="68"/>
      <c r="E11" s="68"/>
      <c r="F11" s="50"/>
      <c r="G11" s="50"/>
      <c r="H11" s="50"/>
    </row>
    <row r="12">
      <c r="A12" s="50"/>
      <c r="B12" s="50"/>
      <c r="C12" s="50"/>
      <c r="D12" s="68"/>
      <c r="E12" s="68"/>
      <c r="F12" s="50"/>
      <c r="G12" s="50"/>
      <c r="H12" s="50"/>
    </row>
    <row r="13">
      <c r="A13" s="50"/>
      <c r="B13" s="50"/>
      <c r="C13" s="50"/>
      <c r="D13" s="68"/>
      <c r="E13" s="68"/>
      <c r="F13" s="50"/>
      <c r="G13" s="50"/>
      <c r="H13" s="50"/>
    </row>
    <row r="14">
      <c r="A14" s="50"/>
      <c r="B14" s="50"/>
      <c r="C14" s="50"/>
      <c r="D14" s="68"/>
      <c r="E14" s="68"/>
      <c r="F14" s="50"/>
      <c r="G14" s="50"/>
      <c r="H14" s="50"/>
    </row>
    <row r="15">
      <c r="A15" s="50"/>
      <c r="B15" s="50"/>
      <c r="C15" s="50"/>
      <c r="D15" s="68"/>
      <c r="E15" s="68"/>
      <c r="F15" s="50"/>
      <c r="G15" s="50"/>
      <c r="H15" s="50"/>
    </row>
    <row r="16">
      <c r="A16" s="50"/>
      <c r="B16" s="50"/>
      <c r="C16" s="50"/>
      <c r="D16" s="68"/>
      <c r="E16" s="68"/>
      <c r="F16" s="50"/>
      <c r="G16" s="50"/>
      <c r="H16" s="50"/>
    </row>
    <row r="17">
      <c r="A17" s="50"/>
      <c r="B17" s="50"/>
      <c r="C17" s="50"/>
      <c r="D17" s="68"/>
      <c r="E17" s="68"/>
      <c r="F17" s="50"/>
      <c r="G17" s="50"/>
      <c r="H17" s="50"/>
    </row>
    <row r="18">
      <c r="A18" s="50"/>
      <c r="B18" s="50"/>
      <c r="C18" s="50"/>
      <c r="D18" s="68"/>
      <c r="E18" s="68"/>
      <c r="F18" s="50"/>
      <c r="G18" s="50"/>
      <c r="H18" s="50"/>
    </row>
    <row r="19">
      <c r="A19" s="50"/>
      <c r="B19" s="50"/>
      <c r="C19" s="50"/>
      <c r="D19" s="68"/>
      <c r="E19" s="68"/>
      <c r="F19" s="50"/>
      <c r="G19" s="50"/>
      <c r="H19" s="50"/>
    </row>
  </sheetData>
  <mergeCells>
    <mergeCell ref="A1:H1"/>
    <mergeCell ref="A2:H2"/>
  </mergeCells>
  <dataValidations count="1">
    <dataValidation type="list" sqref="G5:G19">
      <formula1>"Draft,Ready for review,Hold"</formula1>
    </dataValidation>
  </dataValidations>
  <printOptions horizontalCentered="1"/>
  <pageMargins left="0.25" right="0.25" top="0.5" bottom="0.5" header="0.2" footer="0.2"/>
  <pageSetup paperSize="1" orientation="landscape" fitToWidth="1" fitToHeight="1"/>
  <tableParts count="1">
    <tablePart r:id="Rade219d9bca34a54"/>
  </tableParts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sheetViews>
    <sheetView showGridLines="0" workbookViewId="0">
      <pane ySplit="4" topLeftCell="A5" activePane="bottomLeft" state="frozen"/>
    </sheetView>
  </sheetViews>
  <sheetFormatPr defaultRowHeight="15"/>
  <cols>
    <col min="1" max="1" width="20" hidden="0" customWidth="1"/>
    <col min="2" max="2" width="20" hidden="0" customWidth="1"/>
    <col min="3" max="3" width="20" hidden="0" customWidth="1"/>
    <col min="4" max="4" width="20" hidden="0" customWidth="1"/>
    <col min="5" max="5" width="40" hidden="0" customWidth="1"/>
  </cols>
  <sheetData>
    <row r="1" ht="28" customHeight="1">
      <c r="A1" s="46" t="str">
        <v>Prior Period Comparison</v>
      </c>
      <c r="B1" s="46"/>
      <c r="C1" s="46"/>
      <c r="D1" s="46"/>
      <c r="E1" s="46"/>
      <c r="F1" s="46"/>
      <c r="G1" s="46"/>
      <c r="H1" s="46"/>
    </row>
    <row r="2" ht="30" customHeight="1">
      <c r="A2" s="47" t="str">
        <v>Optional comparison layer; prior-period data is contextual and must not override current authority.</v>
      </c>
      <c r="B2" s="47"/>
      <c r="C2" s="47"/>
      <c r="D2" s="47"/>
      <c r="E2" s="47"/>
      <c r="F2" s="47"/>
      <c r="G2" s="47"/>
      <c r="H2" s="47"/>
    </row>
    <row r="3">
      <c r="A3" s="48"/>
      <c r="B3" s="48"/>
      <c r="C3" s="48"/>
      <c r="D3" s="48"/>
      <c r="E3" s="48"/>
      <c r="F3" s="48"/>
      <c r="G3" s="48"/>
      <c r="H3" s="48"/>
    </row>
    <row r="4">
      <c r="A4" s="49" t="str">
        <v>Account Code</v>
      </c>
      <c r="B4" s="49" t="str">
        <v>Current Balance</v>
      </c>
      <c r="C4" s="49" t="str">
        <v>Prior Balance</v>
      </c>
      <c r="D4" s="49" t="str">
        <v>Change</v>
      </c>
      <c r="E4" s="49" t="str">
        <v>Context Note</v>
      </c>
      <c r="F4" s="48"/>
      <c r="G4" s="48"/>
      <c r="H4" s="48"/>
    </row>
    <row r="5">
      <c r="A5" s="50"/>
      <c r="B5" s="68"/>
      <c r="C5" s="68"/>
      <c r="D5" s="67" t="n">
        <f>B5-C5</f>
        <v>0</v>
      </c>
      <c r="E5" s="50"/>
      <c r="F5" s="48"/>
      <c r="G5" s="48"/>
      <c r="H5" s="48"/>
    </row>
    <row r="6">
      <c r="A6" s="50"/>
      <c r="B6" s="68"/>
      <c r="C6" s="68"/>
      <c r="D6" s="67" t="n">
        <f>B6-C6</f>
        <v>0</v>
      </c>
      <c r="E6" s="50"/>
      <c r="F6" s="48"/>
      <c r="G6" s="48"/>
      <c r="H6" s="48"/>
    </row>
    <row r="7">
      <c r="A7" s="50"/>
      <c r="B7" s="68"/>
      <c r="C7" s="68"/>
      <c r="D7" s="67" t="n">
        <f>B7-C7</f>
        <v>0</v>
      </c>
      <c r="E7" s="50"/>
      <c r="F7" s="48"/>
      <c r="G7" s="48"/>
      <c r="H7" s="48"/>
    </row>
    <row r="8">
      <c r="A8" s="50"/>
      <c r="B8" s="68"/>
      <c r="C8" s="68"/>
      <c r="D8" s="67" t="n">
        <f>B8-C8</f>
        <v>0</v>
      </c>
      <c r="E8" s="50"/>
      <c r="F8" s="48"/>
      <c r="G8" s="48"/>
      <c r="H8" s="48"/>
    </row>
    <row r="9">
      <c r="A9" s="50"/>
      <c r="B9" s="68"/>
      <c r="C9" s="68"/>
      <c r="D9" s="67" t="n">
        <f>B9-C9</f>
        <v>0</v>
      </c>
      <c r="E9" s="50"/>
      <c r="F9" s="48"/>
      <c r="G9" s="48"/>
      <c r="H9" s="48"/>
    </row>
    <row r="10">
      <c r="A10" s="50"/>
      <c r="B10" s="68"/>
      <c r="C10" s="68"/>
      <c r="D10" s="67" t="n">
        <f>B10-C10</f>
        <v>0</v>
      </c>
      <c r="E10" s="50"/>
      <c r="F10" s="48"/>
      <c r="G10" s="48"/>
      <c r="H10" s="48"/>
    </row>
    <row r="11">
      <c r="A11" s="50"/>
      <c r="B11" s="68"/>
      <c r="C11" s="68"/>
      <c r="D11" s="67" t="n">
        <f>B11-C11</f>
        <v>0</v>
      </c>
      <c r="E11" s="50"/>
      <c r="F11" s="48"/>
      <c r="G11" s="48"/>
      <c r="H11" s="48"/>
    </row>
    <row r="12">
      <c r="A12" s="50"/>
      <c r="B12" s="68"/>
      <c r="C12" s="68"/>
      <c r="D12" s="67" t="n">
        <f>B12-C12</f>
        <v>0</v>
      </c>
      <c r="E12" s="50"/>
      <c r="F12" s="48"/>
      <c r="G12" s="48"/>
      <c r="H12" s="48"/>
    </row>
    <row r="13">
      <c r="A13" s="50"/>
      <c r="B13" s="68"/>
      <c r="C13" s="68"/>
      <c r="D13" s="67" t="n">
        <f>B13-C13</f>
        <v>0</v>
      </c>
      <c r="E13" s="50"/>
      <c r="F13" s="48"/>
      <c r="G13" s="48"/>
      <c r="H13" s="48"/>
    </row>
    <row r="14">
      <c r="A14" s="50"/>
      <c r="B14" s="68"/>
      <c r="C14" s="68"/>
      <c r="D14" s="67" t="n">
        <f>B14-C14</f>
        <v>0</v>
      </c>
      <c r="E14" s="50"/>
      <c r="F14" s="48"/>
      <c r="G14" s="48"/>
      <c r="H14" s="48"/>
    </row>
    <row r="15">
      <c r="A15" s="50"/>
      <c r="B15" s="68"/>
      <c r="C15" s="68"/>
      <c r="D15" s="67" t="n">
        <f>B15-C15</f>
        <v>0</v>
      </c>
      <c r="E15" s="50"/>
      <c r="F15" s="48"/>
      <c r="G15" s="48"/>
      <c r="H15" s="48"/>
    </row>
    <row r="16">
      <c r="A16" s="50"/>
      <c r="B16" s="68"/>
      <c r="C16" s="68"/>
      <c r="D16" s="67" t="n">
        <f>B16-C16</f>
        <v>0</v>
      </c>
      <c r="E16" s="50"/>
      <c r="F16" s="48"/>
      <c r="G16" s="48"/>
      <c r="H16" s="48"/>
    </row>
    <row r="17">
      <c r="A17" s="50"/>
      <c r="B17" s="68"/>
      <c r="C17" s="68"/>
      <c r="D17" s="67" t="n">
        <f>B17-C17</f>
        <v>0</v>
      </c>
      <c r="E17" s="50"/>
      <c r="F17" s="48"/>
      <c r="G17" s="48"/>
      <c r="H17" s="48"/>
    </row>
    <row r="18">
      <c r="A18" s="50"/>
      <c r="B18" s="68"/>
      <c r="C18" s="68"/>
      <c r="D18" s="67" t="n">
        <f>B18-C18</f>
        <v>0</v>
      </c>
      <c r="E18" s="50"/>
      <c r="F18" s="48"/>
      <c r="G18" s="48"/>
      <c r="H18" s="48"/>
    </row>
    <row r="19">
      <c r="A19" s="50"/>
      <c r="B19" s="68"/>
      <c r="C19" s="68"/>
      <c r="D19" s="67" t="n">
        <f>B19-C19</f>
        <v>0</v>
      </c>
      <c r="E19" s="50"/>
      <c r="F19" s="48"/>
      <c r="G19" s="48"/>
      <c r="H19" s="48"/>
    </row>
    <row r="20">
      <c r="A20" s="50"/>
      <c r="B20" s="68"/>
      <c r="C20" s="68"/>
      <c r="D20" s="67" t="n">
        <f>B20-C20</f>
        <v>0</v>
      </c>
      <c r="E20" s="50"/>
      <c r="F20" s="48"/>
      <c r="G20" s="48"/>
      <c r="H20" s="48"/>
    </row>
    <row r="21">
      <c r="A21" s="50"/>
      <c r="B21" s="68"/>
      <c r="C21" s="68"/>
      <c r="D21" s="67" t="n">
        <f>B21-C21</f>
        <v>0</v>
      </c>
      <c r="E21" s="50"/>
      <c r="F21" s="48"/>
      <c r="G21" s="48"/>
      <c r="H21" s="48"/>
    </row>
    <row r="22">
      <c r="A22" s="50"/>
      <c r="B22" s="68"/>
      <c r="C22" s="68"/>
      <c r="D22" s="67" t="n">
        <f>B22-C22</f>
        <v>0</v>
      </c>
      <c r="E22" s="50"/>
      <c r="F22" s="48"/>
      <c r="G22" s="48"/>
      <c r="H22" s="48"/>
    </row>
    <row r="23">
      <c r="A23" s="50"/>
      <c r="B23" s="68"/>
      <c r="C23" s="68"/>
      <c r="D23" s="67" t="n">
        <f>B23-C23</f>
        <v>0</v>
      </c>
      <c r="E23" s="50"/>
      <c r="F23" s="48"/>
      <c r="G23" s="48"/>
      <c r="H23" s="48"/>
    </row>
    <row r="24">
      <c r="A24" s="50"/>
      <c r="B24" s="68"/>
      <c r="C24" s="68"/>
      <c r="D24" s="67" t="n">
        <f>B24-C24</f>
        <v>0</v>
      </c>
      <c r="E24" s="50"/>
      <c r="F24" s="48"/>
      <c r="G24" s="48"/>
      <c r="H24" s="48"/>
    </row>
  </sheetData>
  <mergeCells>
    <mergeCell ref="A1:H1"/>
    <mergeCell ref="A2:H2"/>
  </mergeCells>
  <printOptions horizontalCentered="1"/>
  <pageMargins left="0.25" right="0.25" top="0.5" bottom="0.5" header="0.2" footer="0.2"/>
  <pageSetup paperSize="1" orientation="portrait" fitToWidth="1" fitToHeight="1"/>
  <tableParts count="1">
    <tablePart r:id="R3b6360dfbb604cd3"/>
  </tableParts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sheetViews>
    <sheetView showGridLines="0" workbookViewId="0">
      <pane ySplit="4" topLeftCell="A5" activePane="bottomLeft" state="frozen"/>
    </sheetView>
  </sheetViews>
  <sheetFormatPr defaultRowHeight="15"/>
  <cols>
    <col min="1" max="1" width="18" hidden="0" customWidth="1"/>
    <col min="2" max="2" width="18" hidden="0" customWidth="1"/>
    <col min="3" max="3" width="38" hidden="0" customWidth="1"/>
    <col min="4" max="4" width="20" hidden="0" customWidth="1"/>
    <col min="5" max="5" width="20" hidden="0" customWidth="1"/>
    <col min="6" max="6" width="20" hidden="0" customWidth="1"/>
    <col min="7" max="7" width="20" hidden="0" customWidth="1"/>
    <col min="8" max="8" width="20" hidden="0" customWidth="1"/>
  </cols>
  <sheetData>
    <row r="1" ht="28" customHeight="1">
      <c r="A1" s="46" t="str">
        <v>Exception Log</v>
      </c>
      <c r="B1" s="46"/>
      <c r="C1" s="46"/>
      <c r="D1" s="46"/>
      <c r="E1" s="46"/>
      <c r="F1" s="46"/>
      <c r="G1" s="46"/>
      <c r="H1" s="46"/>
    </row>
    <row r="2" ht="30" customHeight="1">
      <c r="A2" s="47" t="str">
        <v>Record only workflow-supported exceptions. Questions do not supply their own resolution.</v>
      </c>
      <c r="B2" s="47"/>
      <c r="C2" s="47"/>
      <c r="D2" s="47"/>
      <c r="E2" s="47"/>
      <c r="F2" s="47"/>
      <c r="G2" s="47"/>
      <c r="H2" s="47"/>
    </row>
    <row r="3">
      <c r="A3" s="48"/>
      <c r="B3" s="48"/>
      <c r="C3" s="48"/>
      <c r="D3" s="48"/>
      <c r="E3" s="48"/>
      <c r="F3" s="48"/>
      <c r="G3" s="48"/>
      <c r="H3" s="48"/>
    </row>
    <row r="4">
      <c r="A4" s="49" t="str">
        <v>Exception ID</v>
      </c>
      <c r="B4" s="49" t="str">
        <v>Detected In</v>
      </c>
      <c r="C4" s="49" t="str">
        <v>Question / Condition</v>
      </c>
      <c r="D4" s="49" t="str">
        <v>Authority Class</v>
      </c>
      <c r="E4" s="49" t="str">
        <v>Owner Role</v>
      </c>
      <c r="F4" s="49" t="str">
        <v>Due Date</v>
      </c>
      <c r="G4" s="49" t="str">
        <v>Status</v>
      </c>
      <c r="H4" s="49" t="str">
        <v>Resolution Reference</v>
      </c>
    </row>
    <row r="5">
      <c r="A5" s="50"/>
      <c r="B5" s="50"/>
      <c r="C5" s="50"/>
      <c r="D5" s="50"/>
      <c r="E5" s="50"/>
      <c r="F5" s="69"/>
      <c r="G5" s="50"/>
      <c r="H5" s="50"/>
    </row>
    <row r="6">
      <c r="A6" s="50"/>
      <c r="B6" s="50"/>
      <c r="C6" s="50"/>
      <c r="D6" s="50"/>
      <c r="E6" s="50"/>
      <c r="F6" s="69"/>
      <c r="G6" s="50"/>
      <c r="H6" s="50"/>
    </row>
    <row r="7">
      <c r="A7" s="50"/>
      <c r="B7" s="50"/>
      <c r="C7" s="50"/>
      <c r="D7" s="50"/>
      <c r="E7" s="50"/>
      <c r="F7" s="69"/>
      <c r="G7" s="50"/>
      <c r="H7" s="50"/>
    </row>
    <row r="8">
      <c r="A8" s="50"/>
      <c r="B8" s="50"/>
      <c r="C8" s="50"/>
      <c r="D8" s="50"/>
      <c r="E8" s="50"/>
      <c r="F8" s="69"/>
      <c r="G8" s="50"/>
      <c r="H8" s="50"/>
    </row>
    <row r="9">
      <c r="A9" s="50"/>
      <c r="B9" s="50"/>
      <c r="C9" s="50"/>
      <c r="D9" s="50"/>
      <c r="E9" s="50"/>
      <c r="F9" s="69"/>
      <c r="G9" s="50"/>
      <c r="H9" s="50"/>
    </row>
    <row r="10">
      <c r="A10" s="50"/>
      <c r="B10" s="50"/>
      <c r="C10" s="50"/>
      <c r="D10" s="50"/>
      <c r="E10" s="50"/>
      <c r="F10" s="69"/>
      <c r="G10" s="50"/>
      <c r="H10" s="50"/>
    </row>
    <row r="11">
      <c r="A11" s="50"/>
      <c r="B11" s="50"/>
      <c r="C11" s="50"/>
      <c r="D11" s="50"/>
      <c r="E11" s="50"/>
      <c r="F11" s="69"/>
      <c r="G11" s="50"/>
      <c r="H11" s="50"/>
    </row>
    <row r="12">
      <c r="A12" s="50"/>
      <c r="B12" s="50"/>
      <c r="C12" s="50"/>
      <c r="D12" s="50"/>
      <c r="E12" s="50"/>
      <c r="F12" s="69"/>
      <c r="G12" s="50"/>
      <c r="H12" s="50"/>
    </row>
    <row r="13">
      <c r="A13" s="50"/>
      <c r="B13" s="50"/>
      <c r="C13" s="50"/>
      <c r="D13" s="50"/>
      <c r="E13" s="50"/>
      <c r="F13" s="69"/>
      <c r="G13" s="50"/>
      <c r="H13" s="50"/>
    </row>
    <row r="14">
      <c r="A14" s="50"/>
      <c r="B14" s="50"/>
      <c r="C14" s="50"/>
      <c r="D14" s="50"/>
      <c r="E14" s="50"/>
      <c r="F14" s="69"/>
      <c r="G14" s="50"/>
      <c r="H14" s="50"/>
    </row>
    <row r="15">
      <c r="A15" s="50"/>
      <c r="B15" s="50"/>
      <c r="C15" s="50"/>
      <c r="D15" s="50"/>
      <c r="E15" s="50"/>
      <c r="F15" s="69"/>
      <c r="G15" s="50"/>
      <c r="H15" s="50"/>
    </row>
    <row r="16">
      <c r="A16" s="50"/>
      <c r="B16" s="50"/>
      <c r="C16" s="50"/>
      <c r="D16" s="50"/>
      <c r="E16" s="50"/>
      <c r="F16" s="69"/>
      <c r="G16" s="50"/>
      <c r="H16" s="50"/>
    </row>
    <row r="17">
      <c r="A17" s="50"/>
      <c r="B17" s="50"/>
      <c r="C17" s="50"/>
      <c r="D17" s="50"/>
      <c r="E17" s="50"/>
      <c r="F17" s="69"/>
      <c r="G17" s="50"/>
      <c r="H17" s="50"/>
    </row>
    <row r="18">
      <c r="A18" s="50"/>
      <c r="B18" s="50"/>
      <c r="C18" s="50"/>
      <c r="D18" s="50"/>
      <c r="E18" s="50"/>
      <c r="F18" s="69"/>
      <c r="G18" s="50"/>
      <c r="H18" s="50"/>
    </row>
    <row r="19">
      <c r="A19" s="50"/>
      <c r="B19" s="50"/>
      <c r="C19" s="50"/>
      <c r="D19" s="50"/>
      <c r="E19" s="50"/>
      <c r="F19" s="69"/>
      <c r="G19" s="50"/>
      <c r="H19" s="50"/>
    </row>
  </sheetData>
  <mergeCells>
    <mergeCell ref="A1:H1"/>
    <mergeCell ref="A2:H2"/>
  </mergeCells>
  <dataValidations count="2">
    <dataValidation type="list" sqref="D5:D19">
      <formula1>"supporting,contextual,question-only,superseded"</formula1>
    </dataValidation>
    <dataValidation type="list" sqref="G5:G19">
      <formula1>"Open,Resolved,Retained"</formula1>
    </dataValidation>
  </dataValidations>
  <printOptions horizontalCentered="1"/>
  <pageMargins left="0.25" right="0.25" top="0.5" bottom="0.5" header="0.2" footer="0.2"/>
  <pageSetup paperSize="1" orientation="landscape" fitToWidth="1" fitToHeight="1"/>
  <tableParts count="1">
    <tablePart r:id="Re299acbb085045ce"/>
  </tableParts>
</worksheet>
</file>

<file path=xl/worksheets/sheet8.xml><?xml version="1.0" encoding="utf-8"?>
<worksheet xmlns="http://schemas.openxmlformats.org/spreadsheetml/2006/main">
  <sheetPr>
    <pageSetUpPr fitToPage="1"/>
  </sheetPr>
  <sheetViews>
    <sheetView showGridLines="0" workbookViewId="0">
      <pane ySplit="4" topLeftCell="A5" activePane="bottomLeft" state="frozen"/>
    </sheetView>
  </sheetViews>
  <sheetFormatPr defaultRowHeight="15"/>
  <cols>
    <col min="1" max="1" width="42" hidden="0" customWidth="1"/>
    <col min="2" max="2" width="22" hidden="0" customWidth="1"/>
    <col min="3" max="3" width="22" hidden="0" customWidth="1"/>
    <col min="4" max="4" width="22" hidden="0" customWidth="1"/>
  </cols>
  <sheetData>
    <row r="1" ht="28" customHeight="1">
      <c r="A1" s="46" t="str">
        <v>Control Checks</v>
      </c>
      <c r="B1" s="46"/>
      <c r="C1" s="46"/>
      <c r="D1" s="46"/>
      <c r="E1" s="46"/>
      <c r="F1" s="46"/>
      <c r="G1" s="46"/>
      <c r="H1" s="46"/>
    </row>
    <row r="2" ht="30" customHeight="1">
      <c r="A2" s="47" t="str">
        <v>PASS indicates internal workbook checks only; it is not evidence of approval or release.</v>
      </c>
      <c r="B2" s="47"/>
      <c r="C2" s="47"/>
      <c r="D2" s="47"/>
      <c r="E2" s="47"/>
      <c r="F2" s="47"/>
      <c r="G2" s="47"/>
      <c r="H2" s="47"/>
    </row>
    <row r="3">
      <c r="A3" s="48"/>
      <c r="B3" s="48"/>
      <c r="C3" s="48"/>
      <c r="D3" s="48"/>
      <c r="E3" s="48"/>
      <c r="F3" s="48"/>
      <c r="G3" s="48"/>
      <c r="H3" s="48"/>
    </row>
    <row r="4">
      <c r="A4" s="49" t="str">
        <v>Check</v>
      </c>
      <c r="B4" s="49" t="str">
        <v>Result</v>
      </c>
      <c r="C4" s="49" t="str">
        <v>Delta / Count</v>
      </c>
      <c r="D4" s="49" t="str">
        <v>Where to fix</v>
      </c>
      <c r="E4" s="48"/>
      <c r="F4" s="48"/>
      <c r="G4" s="48"/>
      <c r="H4" s="48"/>
    </row>
    <row r="5">
      <c r="A5" s="48" t="str">
        <v>Source debits equal source credits</v>
      </c>
      <c r="B5" s="48" t="str">
        <f>IF(C5=0,"PASS","FAIL")</f>
        <v>PASS</v>
      </c>
      <c r="C5" s="48" t="n">
        <f>SUM('Source_Data'!$F$5:$F$29)-SUM('Source_Data'!$G$5:$G$29)</f>
        <v>0</v>
      </c>
      <c r="D5" s="48" t="str">
        <v>Source_Data</v>
      </c>
      <c r="E5" s="48"/>
      <c r="F5" s="48"/>
      <c r="G5" s="48"/>
      <c r="H5" s="48"/>
    </row>
    <row r="6">
      <c r="A6" s="48" t="str">
        <v>Proposed debits equal proposed credits</v>
      </c>
      <c r="B6" s="48" t="str">
        <f>IF(C6=0,"PASS","FAIL")</f>
        <v>PASS</v>
      </c>
      <c r="C6" s="48" t="n">
        <f>SUM('Proposed_Entries'!$D$5:$D$19)-SUM('Proposed_Entries'!$E$5:$E$19)</f>
        <v>0</v>
      </c>
      <c r="D6" s="48" t="str">
        <v>Proposed_Entries</v>
      </c>
      <c r="E6" s="48"/>
      <c r="F6" s="48"/>
      <c r="G6" s="48"/>
      <c r="H6" s="48"/>
    </row>
    <row r="7">
      <c r="A7" s="48" t="str">
        <v>No reconciliation rows require review</v>
      </c>
      <c r="B7" s="48" t="str">
        <f>IF(C7=0,"PASS","FAIL")</f>
        <v>PASS</v>
      </c>
      <c r="C7" s="48" t="n">
        <f>COUNTIF('Reconciliation'!$G$5:$G$24,"REVIEW")</f>
        <v>0</v>
      </c>
      <c r="D7" s="48" t="str">
        <v>Reconciliation</v>
      </c>
      <c r="E7" s="48"/>
      <c r="F7" s="48"/>
      <c r="G7" s="48"/>
      <c r="H7" s="48"/>
    </row>
    <row r="8">
      <c r="A8" s="48" t="str">
        <v>No open exceptions</v>
      </c>
      <c r="B8" s="48" t="str">
        <f>IF(C8=0,"PASS","FAIL")</f>
        <v>PASS</v>
      </c>
      <c r="C8" s="48" t="n">
        <f>COUNTIF('Exceptions'!$G$5:$G$19,"Open")</f>
        <v>0</v>
      </c>
      <c r="D8" s="48" t="str">
        <v>Exceptions</v>
      </c>
      <c r="E8" s="48"/>
      <c r="F8" s="48"/>
      <c r="G8" s="48"/>
      <c r="H8" s="48"/>
    </row>
    <row r="9">
      <c r="A9" s="48" t="str">
        <v>Required close fields populated</v>
      </c>
      <c r="B9" s="48" t="str">
        <f>IF(C9=0,"PASS","FAIL")</f>
        <v>FAIL</v>
      </c>
      <c r="C9" s="48" t="n">
        <f>IF(OR('Close_Control'!B5="{{organization_name}}",'Close_Control'!B6="{{close_period_end}}",'Close_Control'!B7="{{preparer_role}}",'Close_Control'!B8="{{reviewer_role}}"),1,0)</f>
        <v>1</v>
      </c>
      <c r="D9" s="48" t="str">
        <v>Close_Control</v>
      </c>
      <c r="E9" s="48"/>
      <c r="F9" s="48"/>
      <c r="G9" s="48"/>
      <c r="H9" s="48"/>
    </row>
    <row r="10">
      <c r="A10" s="48"/>
      <c r="B10" s="48"/>
      <c r="C10" s="48"/>
      <c r="D10" s="48"/>
      <c r="E10" s="48"/>
      <c r="F10" s="48"/>
      <c r="G10" s="48"/>
      <c r="H10" s="48"/>
    </row>
    <row r="11">
      <c r="A11" s="49" t="str">
        <v>MODEL STATUS</v>
      </c>
      <c r="B11" s="49" t="str">
        <v>Formula</v>
      </c>
      <c r="C11" s="48"/>
      <c r="D11" s="48"/>
      <c r="E11" s="48"/>
      <c r="F11" s="48"/>
      <c r="G11" s="48"/>
      <c r="H11" s="48"/>
    </row>
    <row r="12">
      <c r="A12" s="48" t="str">
        <v>Status</v>
      </c>
      <c r="B12" s="70" t="str">
        <f>IF(COUNTIF(B5:B9,"FAIL")=0,"PASS","FAIL")</f>
        <v>FAIL</v>
      </c>
      <c r="C12" s="48"/>
      <c r="D12" s="48"/>
      <c r="E12" s="48"/>
      <c r="F12" s="48"/>
      <c r="G12" s="48"/>
      <c r="H12" s="48"/>
    </row>
  </sheetData>
  <mergeCells>
    <mergeCell ref="A1:H1"/>
    <mergeCell ref="A2:H2"/>
  </mergeCells>
  <conditionalFormatting sqref="B5:B9">
    <cfRule type="containsText" dxfId="2" priority="1" operator="containsText" text="PASS"/>
    <cfRule type="containsText" dxfId="3" priority="2" operator="containsText" text="FAIL"/>
  </conditionalFormatting>
  <printOptions horizontalCentered="1"/>
  <pageMargins left="0.25" right="0.25" top="0.5" bottom="0.5" header="0.2" footer="0.2"/>
  <pageSetup paperSize="1" orientation="portrait" fitToWidth="1" fitToHeight="1"/>
</worksheet>
</file>