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3d80a525a4a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3cbfca099e9472c"/>
    <x:sheet xmlns:r="http://schemas.openxmlformats.org/officeDocument/2006/relationships" name="Source_Data" sheetId="2" r:id="R934c12998c2b40b8"/>
    <x:sheet xmlns:r="http://schemas.openxmlformats.org/officeDocument/2006/relationships" name="Account_Map" sheetId="3" r:id="Rf61da8936b384ce2"/>
    <x:sheet xmlns:r="http://schemas.openxmlformats.org/officeDocument/2006/relationships" name="Reconciliation" sheetId="4" r:id="R80019f8df9754edb"/>
    <x:sheet xmlns:r="http://schemas.openxmlformats.org/officeDocument/2006/relationships" name="Proposed_Entries" sheetId="5" r:id="R682e577079c74921"/>
    <x:sheet xmlns:r="http://schemas.openxmlformats.org/officeDocument/2006/relationships" name="Prior_Period" sheetId="6" r:id="R3c82de6e84f04e42"/>
    <x:sheet xmlns:r="http://schemas.openxmlformats.org/officeDocument/2006/relationships" name="Exceptions" sheetId="7" r:id="Rb0cae59850d74c6f"/>
    <x:sheet xmlns:r="http://schemas.openxmlformats.org/officeDocument/2006/relationships" name="Checks" sheetId="8" r:id="Rc340610260cf4a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$#,##0.00;[Red]($#,##0.00);-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4546A"/>
      <x:name val="Carlito"/>
    </x:font>
    <x:font>
      <x:b/>
      <x:sz val="11"/>
      <x:color rgb="FF17365D"/>
      <x:name val="Carlito"/>
    </x:font>
    <x:font>
      <x:b/>
      <x:sz val="14"/>
      <x:name val="Carlito"/>
    </x:font>
    <x:font>
      <x:b/>
      <x:sz val="10"/>
      <x:color rgb="FFFFFFFF"/>
      <x:name val="Aptos"/>
    </x:font>
    <x:font>
      <x:i/>
      <x:sz val="10"/>
      <x:color rgb="FF44546A"/>
      <x:name val="Aptos"/>
    </x:font>
    <x:font>
      <x:sz val="10"/>
      <x:name val="Aptos"/>
    </x:font>
    <x:font>
      <x:b/>
      <x:sz val="10"/>
      <x:color rgb="FF17365D"/>
      <x:name val="Aptos"/>
    </x:font>
    <x:font>
      <x:b/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3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201" fontId="0" fillId="0" borderId="3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0" fontId="3" fillId="4" borderId="1" xfId="0" applyNumberFormat="1" applyFont="1" applyFill="1" applyBorder="1" applyAlignment="1">
      <x:alignment wrapText="0"/>
    </x:xf>
    <x:xf numFmtId="0" fontId="0" fillId="0" borderId="2" xfId="0" applyNumberFormat="1" applyFont="1" applyFill="1" applyBorder="1" applyAlignment="1">
      <x:alignment wrapText="0"/>
    </x:xf>
    <x:xf numFmtId="0" fontId="0" fillId="0" borderId="3" xfId="0" applyNumberFormat="1" applyFont="1" applyFill="1" applyBorder="1" applyAlignment="1">
      <x:alignment wrapText="0"/>
    </x:xf>
    <x:xf numFmtId="200" fontId="0" fillId="0" borderId="3" xfId="0" applyNumberFormat="1" applyFont="1" applyFill="1" applyBorder="1" applyAlignment="1">
      <x:alignment wrapText="0"/>
    </x:xf>
    <x:xf numFmtId="201" fontId="0" fillId="0" borderId="3" xfId="0" applyNumberFormat="1" applyFont="1" applyFill="1" applyBorder="1" applyAlignment="1">
      <x:alignment wrapText="0"/>
    </x:xf>
    <x:xf numFmtId="0" fontId="0" fillId="0" borderId="4" xfId="0" applyNumberFormat="1" applyFont="1" applyFill="1" applyBorder="1" applyAlignment="1">
      <x:alignment wrapText="0"/>
    </x:xf>
    <x:xf numFmtId="0" fontId="0" fillId="0" borderId="5" xfId="0" applyNumberFormat="1" applyFont="1" applyFill="1" applyBorder="1" applyAlignment="1">
      <x:alignment wrapText="0"/>
    </x:xf>
    <x:xf numFmtId="0" fontId="0" fillId="0" borderId="6" xfId="0" applyNumberFormat="1" applyFont="1" applyFill="1" applyBorder="1" applyAlignment="1">
      <x:alignment wrapText="0"/>
    </x:xf>
    <x:xf numFmtId="200" fontId="0" fillId="0" borderId="6" xfId="0" applyNumberFormat="1" applyFont="1" applyFill="1" applyBorder="1" applyAlignment="1">
      <x:alignment wrapText="0"/>
    </x:xf>
    <x:xf numFmtId="201" fontId="0" fillId="0" borderId="6" xfId="0" applyNumberFormat="1" applyFont="1" applyFill="1" applyBorder="1" applyAlignment="1">
      <x:alignment wrapText="0"/>
    </x:xf>
    <x:xf numFmtId="0" fontId="0" fillId="0" borderId="7" xfId="0" applyNumberFormat="1" applyFont="1" applyFill="1" applyBorder="1" applyAlignment="1">
      <x:alignment wrapText="0"/>
    </x:xf>
    <x:xf numFmtId="0" fontId="0" fillId="0" borderId="8" xfId="0" applyNumberFormat="1" applyFont="1" applyFill="1" applyBorder="1" applyAlignment="1">
      <x:alignment wrapText="0"/>
    </x:xf>
    <x:xf numFmtId="0" fontId="0" fillId="0" borderId="9" xfId="0" applyNumberFormat="1" applyFont="1" applyFill="1" applyBorder="1" applyAlignment="1">
      <x:alignment wrapText="0"/>
    </x:xf>
    <x:xf numFmtId="200" fontId="0" fillId="0" borderId="9" xfId="0" applyNumberFormat="1" applyFont="1" applyFill="1" applyBorder="1" applyAlignment="1">
      <x:alignment wrapText="0"/>
    </x:xf>
    <x:xf numFmtId="201" fontId="0" fillId="0" borderId="9" xfId="0" applyNumberFormat="1" applyFont="1" applyFill="1" applyBorder="1" applyAlignment="1">
      <x:alignment wrapText="0"/>
    </x:xf>
    <x:xf numFmtId="0" fontId="0" fillId="0" borderId="10" xfId="0" applyNumberFormat="1" applyFont="1" applyFill="1" applyBorder="1" applyAlignment="1">
      <x:alignment wrapText="0"/>
    </x:xf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2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7" fillId="5" borderId="0" xfId="0" applyNumberFormat="1" applyFont="1" applyFill="1" applyBorder="1"/>
    <x:xf numFmtId="0" fontId="8" fillId="4" borderId="1" xfId="0" applyNumberFormat="1" applyFont="1" applyFill="1" applyBorder="1" applyAlignment="1">
      <x:alignment wrapText="0"/>
    </x:xf>
    <x:xf numFmtId="0" fontId="7" fillId="0" borderId="2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wrapText="0"/>
    </x:xf>
    <x:xf numFmtId="200" fontId="7" fillId="0" borderId="3" xfId="0" applyNumberFormat="1" applyFont="1" applyFill="1" applyBorder="1" applyAlignment="1">
      <x:alignment wrapText="0"/>
    </x:xf>
    <x:xf numFmtId="201" fontId="7" fillId="0" borderId="3" xfId="0" applyNumberFormat="1" applyFont="1" applyFill="1" applyBorder="1" applyAlignment="1">
      <x:alignment wrapText="0"/>
    </x:xf>
    <x:xf numFmtId="0" fontId="7" fillId="0" borderId="4" xfId="0" applyNumberFormat="1" applyFont="1" applyFill="1" applyBorder="1" applyAlignment="1">
      <x:alignment wrapText="0"/>
    </x:xf>
    <x:xf numFmtId="0" fontId="7" fillId="0" borderId="5" xfId="0" applyNumberFormat="1" applyFont="1" applyFill="1" applyBorder="1" applyAlignment="1">
      <x:alignment wrapText="0"/>
    </x:xf>
    <x:xf numFmtId="0" fontId="7" fillId="0" borderId="6" xfId="0" applyNumberFormat="1" applyFont="1" applyFill="1" applyBorder="1" applyAlignment="1">
      <x:alignment wrapText="0"/>
    </x:xf>
    <x:xf numFmtId="200" fontId="7" fillId="0" borderId="6" xfId="0" applyNumberFormat="1" applyFont="1" applyFill="1" applyBorder="1" applyAlignment="1">
      <x:alignment wrapText="0"/>
    </x:xf>
    <x:xf numFmtId="201" fontId="7" fillId="0" borderId="6" xfId="0" applyNumberFormat="1" applyFont="1" applyFill="1" applyBorder="1" applyAlignment="1">
      <x:alignment wrapText="0"/>
    </x:xf>
    <x:xf numFmtId="0" fontId="7" fillId="0" borderId="7" xfId="0" applyNumberFormat="1" applyFont="1" applyFill="1" applyBorder="1" applyAlignment="1">
      <x:alignment wrapText="0"/>
    </x:xf>
    <x:xf numFmtId="0" fontId="7" fillId="0" borderId="8" xfId="0" applyNumberFormat="1" applyFont="1" applyFill="1" applyBorder="1" applyAlignment="1">
      <x:alignment wrapText="0"/>
    </x:xf>
    <x:xf numFmtId="0" fontId="7" fillId="0" borderId="9" xfId="0" applyNumberFormat="1" applyFont="1" applyFill="1" applyBorder="1" applyAlignment="1">
      <x:alignment wrapText="0"/>
    </x:xf>
    <x:xf numFmtId="200" fontId="7" fillId="0" borderId="9" xfId="0" applyNumberFormat="1" applyFont="1" applyFill="1" applyBorder="1" applyAlignment="1">
      <x:alignment wrapText="0"/>
    </x:xf>
    <x:xf numFmtId="201" fontId="7" fillId="0" borderId="9" xfId="0" applyNumberFormat="1" applyFont="1" applyFill="1" applyBorder="1" applyAlignment="1">
      <x:alignment wrapText="0"/>
    </x:xf>
    <x:xf numFmtId="0" fontId="7" fillId="0" borderId="10" xfId="0" applyNumberFormat="1" applyFont="1" applyFill="1" applyBorder="1" applyAlignment="1">
      <x:alignment wrapText="0"/>
    </x:xf>
    <x:xf numFmtId="201" fontId="7" fillId="0" borderId="0" xfId="0" applyNumberFormat="1" applyFont="1" applyFill="1" applyBorder="1"/>
    <x:xf numFmtId="201" fontId="7" fillId="5" borderId="0" xfId="0" applyNumberFormat="1" applyFont="1" applyFill="1" applyBorder="1"/>
    <x:xf numFmtId="200" fontId="7" fillId="5" borderId="0" xfId="0" applyNumberFormat="1" applyFont="1" applyFill="1" applyBorder="1"/>
    <x:xf numFmtId="0" fontId="9" fillId="3" borderId="0" xfId="0" applyNumberFormat="1" applyFont="1" applyFill="1" applyBorder="1"/>
  </x:cellXfs>
  <x:cellStyles count="1">
    <x:cellStyle name="Normal" xfId="0"/>
  </x:cellStyles>
  <x:dxfs count="4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eec5812e974d8e" /><Relationship Type="http://schemas.openxmlformats.org/officeDocument/2006/relationships/theme" Target="/xl/theme/theme1.xml" Id="R00b04cfdd78f4c91" /><Relationship Type="http://schemas.openxmlformats.org/officeDocument/2006/relationships/sharedStrings" Target="/xl/sharedStrings.xml" Id="Rdc59d9eb89264838" /><Relationship Type="http://schemas.openxmlformats.org/officeDocument/2006/relationships/worksheet" Target="/xl/worksheets/sheet1.xml" Id="Ra3cbfca099e9472c" /><Relationship Type="http://schemas.openxmlformats.org/officeDocument/2006/relationships/worksheet" Target="/xl/worksheets/sheet2.xml" Id="R934c12998c2b40b8" /><Relationship Type="http://schemas.openxmlformats.org/officeDocument/2006/relationships/worksheet" Target="/xl/worksheets/sheet3.xml" Id="Rf61da8936b384ce2" /><Relationship Type="http://schemas.openxmlformats.org/officeDocument/2006/relationships/worksheet" Target="/xl/worksheets/sheet4.xml" Id="R80019f8df9754edb" /><Relationship Type="http://schemas.openxmlformats.org/officeDocument/2006/relationships/worksheet" Target="/xl/worksheets/sheet5.xml" Id="R682e577079c74921" /><Relationship Type="http://schemas.openxmlformats.org/officeDocument/2006/relationships/worksheet" Target="/xl/worksheets/sheet6.xml" Id="R3c82de6e84f04e42" /><Relationship Type="http://schemas.openxmlformats.org/officeDocument/2006/relationships/worksheet" Target="/xl/worksheets/sheet7.xml" Id="Rb0cae59850d74c6f" /><Relationship Type="http://schemas.openxmlformats.org/officeDocument/2006/relationships/worksheet" Target="/xl/worksheets/sheet8.xml" Id="Rc340610260cf4aee" /></Relationships>
</file>

<file path=xl/tables/table1.xml><?xml version="1.0" encoding="utf-8"?>
<x:table xmlns:x="http://schemas.openxmlformats.org/spreadsheetml/2006/main" id="1" name="SourceDataTable" displayName="SourceDataTable" ref="A4:H29" headerRowCount="1" totalsRowCount="0" totalsRowShown="0">
  <x:tableColumns count="8">
    <x:tableColumn id="1" name="Source Row ID"/>
    <x:tableColumn id="2" name="Entity Code"/>
    <x:tableColumn id="3" name="Account Code"/>
    <x:tableColumn id="4" name="Transaction Date"/>
    <x:tableColumn id="5" name="Description"/>
    <x:tableColumn id="6" name="Debit"/>
    <x:tableColumn id="7" name="Credit"/>
    <x:tableColumn id="8" name="Status Co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countMapTable" displayName="AccountMapTable" ref="A4:E29" headerRowCount="1" totalsRowCount="0" totalsRowShown="0">
  <x:tableColumns count="5">
    <x:tableColumn id="1" name="Account Code"/>
    <x:tableColumn id="2" name="Account Name"/>
    <x:tableColumn id="3" name="Statement Group"/>
    <x:tableColumn id="4" name="Reconciliation Owner Role"/>
    <x:tableColumn id="5" name="Active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0fc99d4205d48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cb6d983e884d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8" hidden="0" customWidth="1"/>
  </x:cols>
  <x:sheetData>
    <x:row r="1" ht="28" customHeight="1">
      <x:c r="A1" s="46" t="str">
        <x:v>Monthly Close &amp; Reconciliation Template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Fact-free native template. Replace every double-brace build token before an instantiated artifact is released.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Template field</x:v>
      </x:c>
      <x:c r="B4" s="49" t="str">
        <x:v>Build-time slot / instruction</x:v>
      </x:c>
      <x:c r="C4" s="48"/>
      <x:c r="D4" s="48"/>
      <x:c r="E4" s="48"/>
      <x:c r="F4" s="48"/>
      <x:c r="G4" s="48"/>
      <x:c r="H4" s="48"/>
    </x:row>
    <x:row r="5">
      <x:c r="A5" s="48" t="str">
        <x:v>Organization</x:v>
      </x:c>
      <x:c r="B5" s="50" t="str">
        <x:v>{{organization_name}}</x:v>
      </x:c>
      <x:c r="C5" s="48"/>
      <x:c r="D5" s="48"/>
      <x:c r="E5" s="48"/>
      <x:c r="F5" s="48"/>
      <x:c r="G5" s="48"/>
      <x:c r="H5" s="48"/>
    </x:row>
    <x:row r="6">
      <x:c r="A6" s="48" t="str">
        <x:v>Close period</x:v>
      </x:c>
      <x:c r="B6" s="50" t="str">
        <x:v>{{close_period_end}}</x:v>
      </x:c>
      <x:c r="C6" s="48"/>
      <x:c r="D6" s="48"/>
      <x:c r="E6" s="48"/>
      <x:c r="F6" s="48"/>
      <x:c r="G6" s="48"/>
      <x:c r="H6" s="48"/>
    </x:row>
    <x:row r="7">
      <x:c r="A7" s="48" t="str">
        <x:v>Prepared by role</x:v>
      </x:c>
      <x:c r="B7" s="50" t="str">
        <x:v>{{preparer_role}}</x:v>
      </x:c>
      <x:c r="C7" s="48"/>
      <x:c r="D7" s="48"/>
      <x:c r="E7" s="48"/>
      <x:c r="F7" s="48"/>
      <x:c r="G7" s="48"/>
      <x:c r="H7" s="48"/>
    </x:row>
    <x:row r="8">
      <x:c r="A8" s="48" t="str">
        <x:v>Reviewed by role</x:v>
      </x:c>
      <x:c r="B8" s="50" t="str">
        <x:v>{{reviewer_role}}</x:v>
      </x:c>
      <x:c r="C8" s="48"/>
      <x:c r="D8" s="48"/>
      <x:c r="E8" s="48"/>
      <x:c r="F8" s="48"/>
      <x:c r="G8" s="48"/>
      <x:c r="H8" s="48"/>
    </x:row>
    <x:row r="9">
      <x:c r="A9" s="48" t="str">
        <x:v>Workflow</x:v>
      </x:c>
      <x:c r="B9" s="48" t="str">
        <x:v>Load source rows, map accounts, resolve exceptions, then confirm Checks is PASS.</x:v>
      </x:c>
      <x:c r="C9" s="48"/>
      <x:c r="D9" s="48"/>
      <x:c r="E9" s="48"/>
      <x:c r="F9" s="48"/>
      <x:c r="G9" s="48"/>
      <x:c r="H9" s="48"/>
    </x:row>
    <x:row r="10">
      <x:c r="A10" s="48"/>
      <x:c r="B10" s="48"/>
      <x:c r="C10" s="48"/>
      <x:c r="D10" s="48"/>
      <x:c r="E10" s="48"/>
      <x:c r="F10" s="48"/>
      <x:c r="G10" s="48"/>
      <x:c r="H10" s="48"/>
    </x:row>
    <x:row r="11">
      <x:c r="A11" s="49" t="str">
        <x:v>Required build sequence</x:v>
      </x:c>
      <x:c r="B11" s="49"/>
      <x:c r="C11" s="48"/>
      <x:c r="D11" s="48"/>
      <x:c r="E11" s="48"/>
      <x:c r="F11" s="48"/>
      <x:c r="G11" s="48"/>
      <x:c r="H11" s="48"/>
    </x:row>
    <x:row r="12">
      <x:c r="A12" s="48" t="str">
        <x:v>1. Populate Source_Data with authorized world facts.</x:v>
      </x:c>
      <x:c r="B12" s="48"/>
      <x:c r="C12" s="48"/>
      <x:c r="D12" s="48"/>
      <x:c r="E12" s="48"/>
      <x:c r="F12" s="48"/>
      <x:c r="G12" s="48"/>
      <x:c r="H12" s="48"/>
    </x:row>
    <x:row r="13">
      <x:c r="A13" s="48" t="str">
        <x:v>2. Populate Account_Map before relying on rollups.</x:v>
      </x:c>
      <x:c r="B13" s="48"/>
      <x:c r="C13" s="48"/>
      <x:c r="D13" s="48"/>
      <x:c r="E13" s="48"/>
      <x:c r="F13" s="48"/>
      <x:c r="G13" s="48"/>
      <x:c r="H13" s="48"/>
    </x:row>
    <x:row r="14">
      <x:c r="A14" s="48" t="str">
        <x:v>3. Complete Reconciliation and Proposed_Entries.</x:v>
      </x:c>
      <x:c r="B14" s="48"/>
      <x:c r="C14" s="48"/>
      <x:c r="D14" s="48"/>
      <x:c r="E14" s="48"/>
      <x:c r="F14" s="48"/>
      <x:c r="G14" s="48"/>
      <x:c r="H14" s="48"/>
    </x:row>
    <x:row r="15">
      <x:c r="A15" s="48" t="str">
        <x:v>4. Resolve or explicitly retain every Exceptions row.</x:v>
      </x:c>
      <x:c r="B15" s="48"/>
      <x:c r="C15" s="48"/>
      <x:c r="D15" s="48"/>
      <x:c r="E15" s="48"/>
      <x:c r="F15" s="48"/>
      <x:c r="G15" s="48"/>
      <x:c r="H15" s="48"/>
    </x:row>
    <x:row r="16">
      <x:c r="A16" s="48" t="str">
        <x:v>5. Recalculate and require all Checks to read PASS.</x:v>
      </x:c>
      <x:c r="B16" s="48"/>
      <x:c r="C16" s="48"/>
      <x:c r="D16" s="48"/>
      <x:c r="E16" s="48"/>
      <x:c r="F16" s="48"/>
      <x:c r="G16" s="48"/>
      <x:c r="H16" s="48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8" customHeight="1">
      <x:c r="A1" s="46" t="str">
        <x:v>Source Data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Paste or generate authorized transaction-level rows. Do not place conclusions in this source-system layer.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51" t="str">
        <x:v>Source Row ID</x:v>
      </x:c>
      <x:c r="B4" s="51" t="str">
        <x:v>Entity Code</x:v>
      </x:c>
      <x:c r="C4" s="51" t="str">
        <x:v>Account Code</x:v>
      </x:c>
      <x:c r="D4" s="51" t="str">
        <x:v>Transaction Date</x:v>
      </x:c>
      <x:c r="E4" s="51" t="str">
        <x:v>Description</x:v>
      </x:c>
      <x:c r="F4" s="51" t="str">
        <x:v>Debit</x:v>
      </x:c>
      <x:c r="G4" s="51" t="str">
        <x:v>Credit</x:v>
      </x:c>
      <x:c r="H4" s="51" t="str">
        <x:v>Status Code</x:v>
      </x:c>
    </x:row>
    <x:row r="5">
      <x:c r="A5" s="52"/>
      <x:c r="B5" s="53"/>
      <x:c r="C5" s="53"/>
      <x:c r="D5" s="54"/>
      <x:c r="E5" s="53"/>
      <x:c r="F5" s="55"/>
      <x:c r="G5" s="55"/>
      <x:c r="H5" s="56"/>
    </x:row>
    <x:row r="6">
      <x:c r="A6" s="57"/>
      <x:c r="B6" s="58"/>
      <x:c r="C6" s="58"/>
      <x:c r="D6" s="59"/>
      <x:c r="E6" s="58"/>
      <x:c r="F6" s="60"/>
      <x:c r="G6" s="60"/>
      <x:c r="H6" s="61"/>
    </x:row>
    <x:row r="7">
      <x:c r="A7" s="57"/>
      <x:c r="B7" s="58"/>
      <x:c r="C7" s="58"/>
      <x:c r="D7" s="59"/>
      <x:c r="E7" s="58"/>
      <x:c r="F7" s="60"/>
      <x:c r="G7" s="60"/>
      <x:c r="H7" s="61"/>
    </x:row>
    <x:row r="8">
      <x:c r="A8" s="57"/>
      <x:c r="B8" s="58"/>
      <x:c r="C8" s="58"/>
      <x:c r="D8" s="59"/>
      <x:c r="E8" s="58"/>
      <x:c r="F8" s="60"/>
      <x:c r="G8" s="60"/>
      <x:c r="H8" s="61"/>
    </x:row>
    <x:row r="9">
      <x:c r="A9" s="57"/>
      <x:c r="B9" s="58"/>
      <x:c r="C9" s="58"/>
      <x:c r="D9" s="59"/>
      <x:c r="E9" s="58"/>
      <x:c r="F9" s="60"/>
      <x:c r="G9" s="60"/>
      <x:c r="H9" s="61"/>
    </x:row>
    <x:row r="10">
      <x:c r="A10" s="57"/>
      <x:c r="B10" s="58"/>
      <x:c r="C10" s="58"/>
      <x:c r="D10" s="59"/>
      <x:c r="E10" s="58"/>
      <x:c r="F10" s="60"/>
      <x:c r="G10" s="60"/>
      <x:c r="H10" s="61"/>
    </x:row>
    <x:row r="11">
      <x:c r="A11" s="57"/>
      <x:c r="B11" s="58"/>
      <x:c r="C11" s="58"/>
      <x:c r="D11" s="59"/>
      <x:c r="E11" s="58"/>
      <x:c r="F11" s="60"/>
      <x:c r="G11" s="60"/>
      <x:c r="H11" s="61"/>
    </x:row>
    <x:row r="12">
      <x:c r="A12" s="57"/>
      <x:c r="B12" s="58"/>
      <x:c r="C12" s="58"/>
      <x:c r="D12" s="59"/>
      <x:c r="E12" s="58"/>
      <x:c r="F12" s="60"/>
      <x:c r="G12" s="60"/>
      <x:c r="H12" s="61"/>
    </x:row>
    <x:row r="13">
      <x:c r="A13" s="57"/>
      <x:c r="B13" s="58"/>
      <x:c r="C13" s="58"/>
      <x:c r="D13" s="59"/>
      <x:c r="E13" s="58"/>
      <x:c r="F13" s="60"/>
      <x:c r="G13" s="60"/>
      <x:c r="H13" s="61"/>
    </x:row>
    <x:row r="14">
      <x:c r="A14" s="57"/>
      <x:c r="B14" s="58"/>
      <x:c r="C14" s="58"/>
      <x:c r="D14" s="59"/>
      <x:c r="E14" s="58"/>
      <x:c r="F14" s="60"/>
      <x:c r="G14" s="60"/>
      <x:c r="H14" s="61"/>
    </x:row>
    <x:row r="15">
      <x:c r="A15" s="57"/>
      <x:c r="B15" s="58"/>
      <x:c r="C15" s="58"/>
      <x:c r="D15" s="59"/>
      <x:c r="E15" s="58"/>
      <x:c r="F15" s="60"/>
      <x:c r="G15" s="60"/>
      <x:c r="H15" s="61"/>
    </x:row>
    <x:row r="16">
      <x:c r="A16" s="57"/>
      <x:c r="B16" s="58"/>
      <x:c r="C16" s="58"/>
      <x:c r="D16" s="59"/>
      <x:c r="E16" s="58"/>
      <x:c r="F16" s="60"/>
      <x:c r="G16" s="60"/>
      <x:c r="H16" s="61"/>
    </x:row>
    <x:row r="17">
      <x:c r="A17" s="57"/>
      <x:c r="B17" s="58"/>
      <x:c r="C17" s="58"/>
      <x:c r="D17" s="59"/>
      <x:c r="E17" s="58"/>
      <x:c r="F17" s="60"/>
      <x:c r="G17" s="60"/>
      <x:c r="H17" s="61"/>
    </x:row>
    <x:row r="18">
      <x:c r="A18" s="57"/>
      <x:c r="B18" s="58"/>
      <x:c r="C18" s="58"/>
      <x:c r="D18" s="59"/>
      <x:c r="E18" s="58"/>
      <x:c r="F18" s="60"/>
      <x:c r="G18" s="60"/>
      <x:c r="H18" s="61"/>
    </x:row>
    <x:row r="19">
      <x:c r="A19" s="57"/>
      <x:c r="B19" s="58"/>
      <x:c r="C19" s="58"/>
      <x:c r="D19" s="59"/>
      <x:c r="E19" s="58"/>
      <x:c r="F19" s="60"/>
      <x:c r="G19" s="60"/>
      <x:c r="H19" s="61"/>
    </x:row>
    <x:row r="20">
      <x:c r="A20" s="57"/>
      <x:c r="B20" s="58"/>
      <x:c r="C20" s="58"/>
      <x:c r="D20" s="59"/>
      <x:c r="E20" s="58"/>
      <x:c r="F20" s="60"/>
      <x:c r="G20" s="60"/>
      <x:c r="H20" s="61"/>
    </x:row>
    <x:row r="21">
      <x:c r="A21" s="57"/>
      <x:c r="B21" s="58"/>
      <x:c r="C21" s="58"/>
      <x:c r="D21" s="59"/>
      <x:c r="E21" s="58"/>
      <x:c r="F21" s="60"/>
      <x:c r="G21" s="60"/>
      <x:c r="H21" s="61"/>
    </x:row>
    <x:row r="22">
      <x:c r="A22" s="57"/>
      <x:c r="B22" s="58"/>
      <x:c r="C22" s="58"/>
      <x:c r="D22" s="59"/>
      <x:c r="E22" s="58"/>
      <x:c r="F22" s="60"/>
      <x:c r="G22" s="60"/>
      <x:c r="H22" s="61"/>
    </x:row>
    <x:row r="23">
      <x:c r="A23" s="57"/>
      <x:c r="B23" s="58"/>
      <x:c r="C23" s="58"/>
      <x:c r="D23" s="59"/>
      <x:c r="E23" s="58"/>
      <x:c r="F23" s="60"/>
      <x:c r="G23" s="60"/>
      <x:c r="H23" s="61"/>
    </x:row>
    <x:row r="24">
      <x:c r="A24" s="57"/>
      <x:c r="B24" s="58"/>
      <x:c r="C24" s="58"/>
      <x:c r="D24" s="59"/>
      <x:c r="E24" s="58"/>
      <x:c r="F24" s="60"/>
      <x:c r="G24" s="60"/>
      <x:c r="H24" s="61"/>
    </x:row>
    <x:row r="25">
      <x:c r="A25" s="57"/>
      <x:c r="B25" s="58"/>
      <x:c r="C25" s="58"/>
      <x:c r="D25" s="59"/>
      <x:c r="E25" s="58"/>
      <x:c r="F25" s="60"/>
      <x:c r="G25" s="60"/>
      <x:c r="H25" s="61"/>
    </x:row>
    <x:row r="26">
      <x:c r="A26" s="57"/>
      <x:c r="B26" s="58"/>
      <x:c r="C26" s="58"/>
      <x:c r="D26" s="59"/>
      <x:c r="E26" s="58"/>
      <x:c r="F26" s="60"/>
      <x:c r="G26" s="60"/>
      <x:c r="H26" s="61"/>
    </x:row>
    <x:row r="27">
      <x:c r="A27" s="57"/>
      <x:c r="B27" s="58"/>
      <x:c r="C27" s="58"/>
      <x:c r="D27" s="59"/>
      <x:c r="E27" s="58"/>
      <x:c r="F27" s="60"/>
      <x:c r="G27" s="60"/>
      <x:c r="H27" s="61"/>
    </x:row>
    <x:row r="28">
      <x:c r="A28" s="57"/>
      <x:c r="B28" s="58"/>
      <x:c r="C28" s="58"/>
      <x:c r="D28" s="59"/>
      <x:c r="E28" s="58"/>
      <x:c r="F28" s="60"/>
      <x:c r="G28" s="60"/>
      <x:c r="H28" s="61"/>
    </x:row>
    <x:row r="29">
      <x:c r="A29" s="62"/>
      <x:c r="B29" s="63"/>
      <x:c r="C29" s="63"/>
      <x:c r="D29" s="64"/>
      <x:c r="E29" s="63"/>
      <x:c r="F29" s="65"/>
      <x:c r="G29" s="65"/>
      <x:c r="H29" s="66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0fc99d4205d483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 ht="28" customHeight="1">
      <x:c r="A1" s="46" t="str">
        <x:v>Account Mapping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Map source codes to the reporting structure. Mapping fields are inputs, not inferred authority.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Account Code</x:v>
      </x:c>
      <x:c r="B4" s="49" t="str">
        <x:v>Account Name</x:v>
      </x:c>
      <x:c r="C4" s="49" t="str">
        <x:v>Statement Group</x:v>
      </x:c>
      <x:c r="D4" s="49" t="str">
        <x:v>Reconciliation Owner Role</x:v>
      </x:c>
      <x:c r="E4" s="49" t="str">
        <x:v>Active?</x:v>
      </x:c>
      <x:c r="F4" s="48"/>
      <x:c r="G4" s="48"/>
      <x:c r="H4" s="48"/>
    </x:row>
    <x:row r="5">
      <x:c r="A5" s="50"/>
      <x:c r="B5" s="50"/>
      <x:c r="C5" s="50"/>
      <x:c r="D5" s="50"/>
      <x:c r="E5" s="50"/>
      <x:c r="F5" s="48"/>
      <x:c r="G5" s="48"/>
      <x:c r="H5" s="48"/>
    </x:row>
    <x:row r="6">
      <x:c r="A6" s="50"/>
      <x:c r="B6" s="50"/>
      <x:c r="C6" s="50"/>
      <x:c r="D6" s="50"/>
      <x:c r="E6" s="50"/>
      <x:c r="F6" s="48"/>
      <x:c r="G6" s="48"/>
      <x:c r="H6" s="48"/>
    </x:row>
    <x:row r="7">
      <x:c r="A7" s="50"/>
      <x:c r="B7" s="50"/>
      <x:c r="C7" s="50"/>
      <x:c r="D7" s="50"/>
      <x:c r="E7" s="50"/>
      <x:c r="F7" s="48"/>
      <x:c r="G7" s="48"/>
      <x:c r="H7" s="48"/>
    </x:row>
    <x:row r="8">
      <x:c r="A8" s="50"/>
      <x:c r="B8" s="50"/>
      <x:c r="C8" s="50"/>
      <x:c r="D8" s="50"/>
      <x:c r="E8" s="50"/>
      <x:c r="F8" s="48"/>
      <x:c r="G8" s="48"/>
      <x:c r="H8" s="48"/>
    </x:row>
    <x:row r="9">
      <x:c r="A9" s="50"/>
      <x:c r="B9" s="50"/>
      <x:c r="C9" s="50"/>
      <x:c r="D9" s="50"/>
      <x:c r="E9" s="50"/>
      <x:c r="F9" s="48"/>
      <x:c r="G9" s="48"/>
      <x:c r="H9" s="48"/>
    </x:row>
    <x:row r="10">
      <x:c r="A10" s="50"/>
      <x:c r="B10" s="50"/>
      <x:c r="C10" s="50"/>
      <x:c r="D10" s="50"/>
      <x:c r="E10" s="50"/>
      <x:c r="F10" s="48"/>
      <x:c r="G10" s="48"/>
      <x:c r="H10" s="48"/>
    </x:row>
    <x:row r="11">
      <x:c r="A11" s="50"/>
      <x:c r="B11" s="50"/>
      <x:c r="C11" s="50"/>
      <x:c r="D11" s="50"/>
      <x:c r="E11" s="50"/>
      <x:c r="F11" s="48"/>
      <x:c r="G11" s="48"/>
      <x:c r="H11" s="48"/>
    </x:row>
    <x:row r="12">
      <x:c r="A12" s="50"/>
      <x:c r="B12" s="50"/>
      <x:c r="C12" s="50"/>
      <x:c r="D12" s="50"/>
      <x:c r="E12" s="50"/>
      <x:c r="F12" s="48"/>
      <x:c r="G12" s="48"/>
      <x:c r="H12" s="48"/>
    </x:row>
    <x:row r="13">
      <x:c r="A13" s="50"/>
      <x:c r="B13" s="50"/>
      <x:c r="C13" s="50"/>
      <x:c r="D13" s="50"/>
      <x:c r="E13" s="50"/>
      <x:c r="F13" s="48"/>
      <x:c r="G13" s="48"/>
      <x:c r="H13" s="48"/>
    </x:row>
    <x:row r="14">
      <x:c r="A14" s="50"/>
      <x:c r="B14" s="50"/>
      <x:c r="C14" s="50"/>
      <x:c r="D14" s="50"/>
      <x:c r="E14" s="50"/>
      <x:c r="F14" s="48"/>
      <x:c r="G14" s="48"/>
      <x:c r="H14" s="48"/>
    </x:row>
    <x:row r="15">
      <x:c r="A15" s="50"/>
      <x:c r="B15" s="50"/>
      <x:c r="C15" s="50"/>
      <x:c r="D15" s="50"/>
      <x:c r="E15" s="50"/>
      <x:c r="F15" s="48"/>
      <x:c r="G15" s="48"/>
      <x:c r="H15" s="48"/>
    </x:row>
    <x:row r="16">
      <x:c r="A16" s="50"/>
      <x:c r="B16" s="50"/>
      <x:c r="C16" s="50"/>
      <x:c r="D16" s="50"/>
      <x:c r="E16" s="50"/>
      <x:c r="F16" s="48"/>
      <x:c r="G16" s="48"/>
      <x:c r="H16" s="48"/>
    </x:row>
    <x:row r="17">
      <x:c r="A17" s="50"/>
      <x:c r="B17" s="50"/>
      <x:c r="C17" s="50"/>
      <x:c r="D17" s="50"/>
      <x:c r="E17" s="50"/>
      <x:c r="F17" s="48"/>
      <x:c r="G17" s="48"/>
      <x:c r="H17" s="48"/>
    </x:row>
    <x:row r="18">
      <x:c r="A18" s="50"/>
      <x:c r="B18" s="50"/>
      <x:c r="C18" s="50"/>
      <x:c r="D18" s="50"/>
      <x:c r="E18" s="50"/>
      <x:c r="F18" s="48"/>
      <x:c r="G18" s="48"/>
      <x:c r="H18" s="48"/>
    </x:row>
    <x:row r="19">
      <x:c r="A19" s="50"/>
      <x:c r="B19" s="50"/>
      <x:c r="C19" s="50"/>
      <x:c r="D19" s="50"/>
      <x:c r="E19" s="50"/>
      <x:c r="F19" s="48"/>
      <x:c r="G19" s="48"/>
      <x:c r="H19" s="48"/>
    </x:row>
    <x:row r="20">
      <x:c r="A20" s="50"/>
      <x:c r="B20" s="50"/>
      <x:c r="C20" s="50"/>
      <x:c r="D20" s="50"/>
      <x:c r="E20" s="50"/>
      <x:c r="F20" s="48"/>
      <x:c r="G20" s="48"/>
      <x:c r="H20" s="48"/>
    </x:row>
    <x:row r="21">
      <x:c r="A21" s="50"/>
      <x:c r="B21" s="50"/>
      <x:c r="C21" s="50"/>
      <x:c r="D21" s="50"/>
      <x:c r="E21" s="50"/>
      <x:c r="F21" s="48"/>
      <x:c r="G21" s="48"/>
      <x:c r="H21" s="48"/>
    </x:row>
    <x:row r="22">
      <x:c r="A22" s="50"/>
      <x:c r="B22" s="50"/>
      <x:c r="C22" s="50"/>
      <x:c r="D22" s="50"/>
      <x:c r="E22" s="50"/>
      <x:c r="F22" s="48"/>
      <x:c r="G22" s="48"/>
      <x:c r="H22" s="48"/>
    </x:row>
    <x:row r="23">
      <x:c r="A23" s="50"/>
      <x:c r="B23" s="50"/>
      <x:c r="C23" s="50"/>
      <x:c r="D23" s="50"/>
      <x:c r="E23" s="50"/>
      <x:c r="F23" s="48"/>
      <x:c r="G23" s="48"/>
      <x:c r="H23" s="48"/>
    </x:row>
    <x:row r="24">
      <x:c r="A24" s="50"/>
      <x:c r="B24" s="50"/>
      <x:c r="C24" s="50"/>
      <x:c r="D24" s="50"/>
      <x:c r="E24" s="50"/>
      <x:c r="F24" s="48"/>
      <x:c r="G24" s="48"/>
      <x:c r="H24" s="48"/>
    </x:row>
    <x:row r="25">
      <x:c r="A25" s="50"/>
      <x:c r="B25" s="50"/>
      <x:c r="C25" s="50"/>
      <x:c r="D25" s="50"/>
      <x:c r="E25" s="50"/>
      <x:c r="F25" s="48"/>
      <x:c r="G25" s="48"/>
      <x:c r="H25" s="48"/>
    </x:row>
    <x:row r="26">
      <x:c r="A26" s="50"/>
      <x:c r="B26" s="50"/>
      <x:c r="C26" s="50"/>
      <x:c r="D26" s="50"/>
      <x:c r="E26" s="50"/>
      <x:c r="F26" s="48"/>
      <x:c r="G26" s="48"/>
      <x:c r="H26" s="48"/>
    </x:row>
    <x:row r="27">
      <x:c r="A27" s="50"/>
      <x:c r="B27" s="50"/>
      <x:c r="C27" s="50"/>
      <x:c r="D27" s="50"/>
      <x:c r="E27" s="50"/>
      <x:c r="F27" s="48"/>
      <x:c r="G27" s="48"/>
      <x:c r="H27" s="48"/>
    </x:row>
    <x:row r="28">
      <x:c r="A28" s="50"/>
      <x:c r="B28" s="50"/>
      <x:c r="C28" s="50"/>
      <x:c r="D28" s="50"/>
      <x:c r="E28" s="50"/>
      <x:c r="F28" s="48"/>
      <x:c r="G28" s="48"/>
      <x:c r="H28" s="48"/>
    </x:row>
    <x:row r="29">
      <x:c r="A29" s="50"/>
      <x:c r="B29" s="50"/>
      <x:c r="C29" s="50"/>
      <x:c r="D29" s="50"/>
      <x:c r="E29" s="50"/>
      <x:c r="F29" s="48"/>
      <x:c r="G29" s="48"/>
      <x:c r="H29" s="48"/>
    </x:row>
  </x:sheetData>
  <x:mergeCells>
    <x:mergeCell ref="A1:H1"/>
    <x:mergeCell ref="A2:H2"/>
  </x:mergeCells>
  <x:dataValidations count="1">
    <x:dataValidation type="list" sqref="E5:E2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cb6d983e884d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8" hidden="0" customWidth="1"/>
  </x:cols>
  <x:sheetData>
    <x:row r="1" ht="28" customHeight="1">
      <x:c r="A1" s="46" t="str">
        <x:v>Reconciliation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Formula-driven comparison of source activity and ledger balance by mapped account.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Account Code</x:v>
      </x:c>
      <x:c r="B4" s="49" t="str">
        <x:v>Account Name</x:v>
      </x:c>
      <x:c r="C4" s="49" t="str">
        <x:v>Source Net</x:v>
      </x:c>
      <x:c r="D4" s="49" t="str">
        <x:v>Ledger Balance</x:v>
      </x:c>
      <x:c r="E4" s="49" t="str">
        <x:v>Difference</x:v>
      </x:c>
      <x:c r="F4" s="49" t="str">
        <x:v>Threshold</x:v>
      </x:c>
      <x:c r="G4" s="49" t="str">
        <x:v>Status</x:v>
      </x:c>
      <x:c r="H4" s="49" t="str">
        <x:v>Explanation / Action</x:v>
      </x:c>
    </x:row>
    <x:row r="5">
      <x:c r="A5" s="50"/>
      <x:c r="B5" s="50"/>
      <x:c r="C5" s="67" t="n">
        <x:f>SUMIFS('Source_Data'!$F$5:$F$29,'Source_Data'!$C$5:$C$29,A5)-SUMIFS('Source_Data'!$G$5:$G$29,'Source_Data'!$C$5:$C$29,A5)</x:f>
        <x:v>0</x:v>
      </x:c>
      <x:c r="D5" s="68"/>
      <x:c r="E5" s="67" t="n">
        <x:f>C5-D5</x:f>
        <x:v>0</x:v>
      </x:c>
      <x:c r="F5" s="68"/>
      <x:c r="G5" s="48" t="str">
        <x:f>IF(ABS(E5)&lt;=F5,"PASS","REVIEW")</x:f>
        <x:v>PASS</x:v>
      </x:c>
      <x:c r="H5" s="50"/>
    </x:row>
    <x:row r="6">
      <x:c r="A6" s="50"/>
      <x:c r="B6" s="50"/>
      <x:c r="C6" s="67" t="n">
        <x:f>SUMIFS('Source_Data'!$F$5:$F$29,'Source_Data'!$C$5:$C$29,A6)-SUMIFS('Source_Data'!$G$5:$G$29,'Source_Data'!$C$5:$C$29,A6)</x:f>
        <x:v>0</x:v>
      </x:c>
      <x:c r="D6" s="68"/>
      <x:c r="E6" s="67" t="n">
        <x:f>C6-D6</x:f>
        <x:v>0</x:v>
      </x:c>
      <x:c r="F6" s="68"/>
      <x:c r="G6" s="48" t="str">
        <x:f>IF(ABS(E6)&lt;=F6,"PASS","REVIEW")</x:f>
        <x:v>PASS</x:v>
      </x:c>
      <x:c r="H6" s="50"/>
    </x:row>
    <x:row r="7">
      <x:c r="A7" s="50"/>
      <x:c r="B7" s="50"/>
      <x:c r="C7" s="67" t="n">
        <x:f>SUMIFS('Source_Data'!$F$5:$F$29,'Source_Data'!$C$5:$C$29,A7)-SUMIFS('Source_Data'!$G$5:$G$29,'Source_Data'!$C$5:$C$29,A7)</x:f>
        <x:v>0</x:v>
      </x:c>
      <x:c r="D7" s="68"/>
      <x:c r="E7" s="67" t="n">
        <x:f>C7-D7</x:f>
        <x:v>0</x:v>
      </x:c>
      <x:c r="F7" s="68"/>
      <x:c r="G7" s="48" t="str">
        <x:f>IF(ABS(E7)&lt;=F7,"PASS","REVIEW")</x:f>
        <x:v>PASS</x:v>
      </x:c>
      <x:c r="H7" s="50"/>
    </x:row>
    <x:row r="8">
      <x:c r="A8" s="50"/>
      <x:c r="B8" s="50"/>
      <x:c r="C8" s="67" t="n">
        <x:f>SUMIFS('Source_Data'!$F$5:$F$29,'Source_Data'!$C$5:$C$29,A8)-SUMIFS('Source_Data'!$G$5:$G$29,'Source_Data'!$C$5:$C$29,A8)</x:f>
        <x:v>0</x:v>
      </x:c>
      <x:c r="D8" s="68"/>
      <x:c r="E8" s="67" t="n">
        <x:f>C8-D8</x:f>
        <x:v>0</x:v>
      </x:c>
      <x:c r="F8" s="68"/>
      <x:c r="G8" s="48" t="str">
        <x:f>IF(ABS(E8)&lt;=F8,"PASS","REVIEW")</x:f>
        <x:v>PASS</x:v>
      </x:c>
      <x:c r="H8" s="50"/>
    </x:row>
    <x:row r="9">
      <x:c r="A9" s="50"/>
      <x:c r="B9" s="50"/>
      <x:c r="C9" s="67" t="n">
        <x:f>SUMIFS('Source_Data'!$F$5:$F$29,'Source_Data'!$C$5:$C$29,A9)-SUMIFS('Source_Data'!$G$5:$G$29,'Source_Data'!$C$5:$C$29,A9)</x:f>
        <x:v>0</x:v>
      </x:c>
      <x:c r="D9" s="68"/>
      <x:c r="E9" s="67" t="n">
        <x:f>C9-D9</x:f>
        <x:v>0</x:v>
      </x:c>
      <x:c r="F9" s="68"/>
      <x:c r="G9" s="48" t="str">
        <x:f>IF(ABS(E9)&lt;=F9,"PASS","REVIEW")</x:f>
        <x:v>PASS</x:v>
      </x:c>
      <x:c r="H9" s="50"/>
    </x:row>
    <x:row r="10">
      <x:c r="A10" s="50"/>
      <x:c r="B10" s="50"/>
      <x:c r="C10" s="67" t="n">
        <x:f>SUMIFS('Source_Data'!$F$5:$F$29,'Source_Data'!$C$5:$C$29,A10)-SUMIFS('Source_Data'!$G$5:$G$29,'Source_Data'!$C$5:$C$29,A10)</x:f>
        <x:v>0</x:v>
      </x:c>
      <x:c r="D10" s="68"/>
      <x:c r="E10" s="67" t="n">
        <x:f>C10-D10</x:f>
        <x:v>0</x:v>
      </x:c>
      <x:c r="F10" s="68"/>
      <x:c r="G10" s="48" t="str">
        <x:f>IF(ABS(E10)&lt;=F10,"PASS","REVIEW")</x:f>
        <x:v>PASS</x:v>
      </x:c>
      <x:c r="H10" s="50"/>
    </x:row>
    <x:row r="11">
      <x:c r="A11" s="50"/>
      <x:c r="B11" s="50"/>
      <x:c r="C11" s="67" t="n">
        <x:f>SUMIFS('Source_Data'!$F$5:$F$29,'Source_Data'!$C$5:$C$29,A11)-SUMIFS('Source_Data'!$G$5:$G$29,'Source_Data'!$C$5:$C$29,A11)</x:f>
        <x:v>0</x:v>
      </x:c>
      <x:c r="D11" s="68"/>
      <x:c r="E11" s="67" t="n">
        <x:f>C11-D11</x:f>
        <x:v>0</x:v>
      </x:c>
      <x:c r="F11" s="68"/>
      <x:c r="G11" s="48" t="str">
        <x:f>IF(ABS(E11)&lt;=F11,"PASS","REVIEW")</x:f>
        <x:v>PASS</x:v>
      </x:c>
      <x:c r="H11" s="50"/>
    </x:row>
    <x:row r="12">
      <x:c r="A12" s="50"/>
      <x:c r="B12" s="50"/>
      <x:c r="C12" s="67" t="n">
        <x:f>SUMIFS('Source_Data'!$F$5:$F$29,'Source_Data'!$C$5:$C$29,A12)-SUMIFS('Source_Data'!$G$5:$G$29,'Source_Data'!$C$5:$C$29,A12)</x:f>
        <x:v>0</x:v>
      </x:c>
      <x:c r="D12" s="68"/>
      <x:c r="E12" s="67" t="n">
        <x:f>C12-D12</x:f>
        <x:v>0</x:v>
      </x:c>
      <x:c r="F12" s="68"/>
      <x:c r="G12" s="48" t="str">
        <x:f>IF(ABS(E12)&lt;=F12,"PASS","REVIEW")</x:f>
        <x:v>PASS</x:v>
      </x:c>
      <x:c r="H12" s="50"/>
    </x:row>
    <x:row r="13">
      <x:c r="A13" s="50"/>
      <x:c r="B13" s="50"/>
      <x:c r="C13" s="67" t="n">
        <x:f>SUMIFS('Source_Data'!$F$5:$F$29,'Source_Data'!$C$5:$C$29,A13)-SUMIFS('Source_Data'!$G$5:$G$29,'Source_Data'!$C$5:$C$29,A13)</x:f>
        <x:v>0</x:v>
      </x:c>
      <x:c r="D13" s="68"/>
      <x:c r="E13" s="67" t="n">
        <x:f>C13-D13</x:f>
        <x:v>0</x:v>
      </x:c>
      <x:c r="F13" s="68"/>
      <x:c r="G13" s="48" t="str">
        <x:f>IF(ABS(E13)&lt;=F13,"PASS","REVIEW")</x:f>
        <x:v>PASS</x:v>
      </x:c>
      <x:c r="H13" s="50"/>
    </x:row>
    <x:row r="14">
      <x:c r="A14" s="50"/>
      <x:c r="B14" s="50"/>
      <x:c r="C14" s="67" t="n">
        <x:f>SUMIFS('Source_Data'!$F$5:$F$29,'Source_Data'!$C$5:$C$29,A14)-SUMIFS('Source_Data'!$G$5:$G$29,'Source_Data'!$C$5:$C$29,A14)</x:f>
        <x:v>0</x:v>
      </x:c>
      <x:c r="D14" s="68"/>
      <x:c r="E14" s="67" t="n">
        <x:f>C14-D14</x:f>
        <x:v>0</x:v>
      </x:c>
      <x:c r="F14" s="68"/>
      <x:c r="G14" s="48" t="str">
        <x:f>IF(ABS(E14)&lt;=F14,"PASS","REVIEW")</x:f>
        <x:v>PASS</x:v>
      </x:c>
      <x:c r="H14" s="50"/>
    </x:row>
    <x:row r="15">
      <x:c r="A15" s="50"/>
      <x:c r="B15" s="50"/>
      <x:c r="C15" s="67" t="n">
        <x:f>SUMIFS('Source_Data'!$F$5:$F$29,'Source_Data'!$C$5:$C$29,A15)-SUMIFS('Source_Data'!$G$5:$G$29,'Source_Data'!$C$5:$C$29,A15)</x:f>
        <x:v>0</x:v>
      </x:c>
      <x:c r="D15" s="68"/>
      <x:c r="E15" s="67" t="n">
        <x:f>C15-D15</x:f>
        <x:v>0</x:v>
      </x:c>
      <x:c r="F15" s="68"/>
      <x:c r="G15" s="48" t="str">
        <x:f>IF(ABS(E15)&lt;=F15,"PASS","REVIEW")</x:f>
        <x:v>PASS</x:v>
      </x:c>
      <x:c r="H15" s="50"/>
    </x:row>
    <x:row r="16">
      <x:c r="A16" s="50"/>
      <x:c r="B16" s="50"/>
      <x:c r="C16" s="67" t="n">
        <x:f>SUMIFS('Source_Data'!$F$5:$F$29,'Source_Data'!$C$5:$C$29,A16)-SUMIFS('Source_Data'!$G$5:$G$29,'Source_Data'!$C$5:$C$29,A16)</x:f>
        <x:v>0</x:v>
      </x:c>
      <x:c r="D16" s="68"/>
      <x:c r="E16" s="67" t="n">
        <x:f>C16-D16</x:f>
        <x:v>0</x:v>
      </x:c>
      <x:c r="F16" s="68"/>
      <x:c r="G16" s="48" t="str">
        <x:f>IF(ABS(E16)&lt;=F16,"PASS","REVIEW")</x:f>
        <x:v>PASS</x:v>
      </x:c>
      <x:c r="H16" s="50"/>
    </x:row>
    <x:row r="17">
      <x:c r="A17" s="50"/>
      <x:c r="B17" s="50"/>
      <x:c r="C17" s="67" t="n">
        <x:f>SUMIFS('Source_Data'!$F$5:$F$29,'Source_Data'!$C$5:$C$29,A17)-SUMIFS('Source_Data'!$G$5:$G$29,'Source_Data'!$C$5:$C$29,A17)</x:f>
        <x:v>0</x:v>
      </x:c>
      <x:c r="D17" s="68"/>
      <x:c r="E17" s="67" t="n">
        <x:f>C17-D17</x:f>
        <x:v>0</x:v>
      </x:c>
      <x:c r="F17" s="68"/>
      <x:c r="G17" s="48" t="str">
        <x:f>IF(ABS(E17)&lt;=F17,"PASS","REVIEW")</x:f>
        <x:v>PASS</x:v>
      </x:c>
      <x:c r="H17" s="50"/>
    </x:row>
    <x:row r="18">
      <x:c r="A18" s="50"/>
      <x:c r="B18" s="50"/>
      <x:c r="C18" s="67" t="n">
        <x:f>SUMIFS('Source_Data'!$F$5:$F$29,'Source_Data'!$C$5:$C$29,A18)-SUMIFS('Source_Data'!$G$5:$G$29,'Source_Data'!$C$5:$C$29,A18)</x:f>
        <x:v>0</x:v>
      </x:c>
      <x:c r="D18" s="68"/>
      <x:c r="E18" s="67" t="n">
        <x:f>C18-D18</x:f>
        <x:v>0</x:v>
      </x:c>
      <x:c r="F18" s="68"/>
      <x:c r="G18" s="48" t="str">
        <x:f>IF(ABS(E18)&lt;=F18,"PASS","REVIEW")</x:f>
        <x:v>PASS</x:v>
      </x:c>
      <x:c r="H18" s="50"/>
    </x:row>
    <x:row r="19">
      <x:c r="A19" s="50"/>
      <x:c r="B19" s="50"/>
      <x:c r="C19" s="67" t="n">
        <x:f>SUMIFS('Source_Data'!$F$5:$F$29,'Source_Data'!$C$5:$C$29,A19)-SUMIFS('Source_Data'!$G$5:$G$29,'Source_Data'!$C$5:$C$29,A19)</x:f>
        <x:v>0</x:v>
      </x:c>
      <x:c r="D19" s="68"/>
      <x:c r="E19" s="67" t="n">
        <x:f>C19-D19</x:f>
        <x:v>0</x:v>
      </x:c>
      <x:c r="F19" s="68"/>
      <x:c r="G19" s="48" t="str">
        <x:f>IF(ABS(E19)&lt;=F19,"PASS","REVIEW")</x:f>
        <x:v>PASS</x:v>
      </x:c>
      <x:c r="H19" s="50"/>
    </x:row>
    <x:row r="20">
      <x:c r="A20" s="50"/>
      <x:c r="B20" s="50"/>
      <x:c r="C20" s="67" t="n">
        <x:f>SUMIFS('Source_Data'!$F$5:$F$29,'Source_Data'!$C$5:$C$29,A20)-SUMIFS('Source_Data'!$G$5:$G$29,'Source_Data'!$C$5:$C$29,A20)</x:f>
        <x:v>0</x:v>
      </x:c>
      <x:c r="D20" s="68"/>
      <x:c r="E20" s="67" t="n">
        <x:f>C20-D20</x:f>
        <x:v>0</x:v>
      </x:c>
      <x:c r="F20" s="68"/>
      <x:c r="G20" s="48" t="str">
        <x:f>IF(ABS(E20)&lt;=F20,"PASS","REVIEW")</x:f>
        <x:v>PASS</x:v>
      </x:c>
      <x:c r="H20" s="50"/>
    </x:row>
    <x:row r="21">
      <x:c r="A21" s="50"/>
      <x:c r="B21" s="50"/>
      <x:c r="C21" s="67" t="n">
        <x:f>SUMIFS('Source_Data'!$F$5:$F$29,'Source_Data'!$C$5:$C$29,A21)-SUMIFS('Source_Data'!$G$5:$G$29,'Source_Data'!$C$5:$C$29,A21)</x:f>
        <x:v>0</x:v>
      </x:c>
      <x:c r="D21" s="68"/>
      <x:c r="E21" s="67" t="n">
        <x:f>C21-D21</x:f>
        <x:v>0</x:v>
      </x:c>
      <x:c r="F21" s="68"/>
      <x:c r="G21" s="48" t="str">
        <x:f>IF(ABS(E21)&lt;=F21,"PASS","REVIEW")</x:f>
        <x:v>PASS</x:v>
      </x:c>
      <x:c r="H21" s="50"/>
    </x:row>
    <x:row r="22">
      <x:c r="A22" s="50"/>
      <x:c r="B22" s="50"/>
      <x:c r="C22" s="67" t="n">
        <x:f>SUMIFS('Source_Data'!$F$5:$F$29,'Source_Data'!$C$5:$C$29,A22)-SUMIFS('Source_Data'!$G$5:$G$29,'Source_Data'!$C$5:$C$29,A22)</x:f>
        <x:v>0</x:v>
      </x:c>
      <x:c r="D22" s="68"/>
      <x:c r="E22" s="67" t="n">
        <x:f>C22-D22</x:f>
        <x:v>0</x:v>
      </x:c>
      <x:c r="F22" s="68"/>
      <x:c r="G22" s="48" t="str">
        <x:f>IF(ABS(E22)&lt;=F22,"PASS","REVIEW")</x:f>
        <x:v>PASS</x:v>
      </x:c>
      <x:c r="H22" s="50"/>
    </x:row>
    <x:row r="23">
      <x:c r="A23" s="50"/>
      <x:c r="B23" s="50"/>
      <x:c r="C23" s="67" t="n">
        <x:f>SUMIFS('Source_Data'!$F$5:$F$29,'Source_Data'!$C$5:$C$29,A23)-SUMIFS('Source_Data'!$G$5:$G$29,'Source_Data'!$C$5:$C$29,A23)</x:f>
        <x:v>0</x:v>
      </x:c>
      <x:c r="D23" s="68"/>
      <x:c r="E23" s="67" t="n">
        <x:f>C23-D23</x:f>
        <x:v>0</x:v>
      </x:c>
      <x:c r="F23" s="68"/>
      <x:c r="G23" s="48" t="str">
        <x:f>IF(ABS(E23)&lt;=F23,"PASS","REVIEW")</x:f>
        <x:v>PASS</x:v>
      </x:c>
      <x:c r="H23" s="50"/>
    </x:row>
    <x:row r="24">
      <x:c r="A24" s="50"/>
      <x:c r="B24" s="50"/>
      <x:c r="C24" s="67" t="n">
        <x:f>SUMIFS('Source_Data'!$F$5:$F$29,'Source_Data'!$C$5:$C$29,A24)-SUMIFS('Source_Data'!$G$5:$G$29,'Source_Data'!$C$5:$C$29,A24)</x:f>
        <x:v>0</x:v>
      </x:c>
      <x:c r="D24" s="68"/>
      <x:c r="E24" s="67" t="n">
        <x:f>C24-D24</x:f>
        <x:v>0</x:v>
      </x:c>
      <x:c r="F24" s="68"/>
      <x:c r="G24" s="48" t="str">
        <x:f>IF(ABS(E24)&lt;=F24,"PASS","REVIEW")</x:f>
        <x:v>PASS</x:v>
      </x:c>
      <x:c r="H24" s="50"/>
    </x:row>
  </x:sheetData>
  <x:mergeCells>
    <x:mergeCell ref="A1:H1"/>
    <x:mergeCell ref="A2:H2"/>
  </x:mergeCells>
  <x:conditionalFormatting sqref="G5:G24">
    <x:cfRule type="containsText" dxfId="0" priority="1" operator="containsText" text="PASS"/>
    <x:cfRule type="containsText" dxfId="1" priority="2" operator="containsText" text="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3" max="3" width="32" hidden="0" customWidth="1"/>
    <x:col min="1" max="1" width="18" hidden="0" customWidth="1"/>
    <x:col min="2" max="2" width="1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8" customHeight="1">
      <x:c r="A1" s="46" t="str">
        <x:v>Proposed Entries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Build entries only from resolved reconciliation differences and authorized adjustments.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Entry ID</x:v>
      </x:c>
      <x:c r="B4" s="49" t="str">
        <x:v>Account Code</x:v>
      </x:c>
      <x:c r="C4" s="49" t="str">
        <x:v>Description</x:v>
      </x:c>
      <x:c r="D4" s="49" t="str">
        <x:v>Debit</x:v>
      </x:c>
      <x:c r="E4" s="49" t="str">
        <x:v>Credit</x:v>
      </x:c>
      <x:c r="F4" s="49" t="str">
        <x:v>Source Reference</x:v>
      </x:c>
      <x:c r="G4" s="49" t="str">
        <x:v>Preparation Status</x:v>
      </x:c>
      <x:c r="H4" s="49" t="str">
        <x:v>Review Note</x:v>
      </x:c>
    </x:row>
    <x:row r="5">
      <x:c r="A5" s="50"/>
      <x:c r="B5" s="50"/>
      <x:c r="C5" s="50"/>
      <x:c r="D5" s="68"/>
      <x:c r="E5" s="68"/>
      <x:c r="F5" s="50"/>
      <x:c r="G5" s="50"/>
      <x:c r="H5" s="50"/>
    </x:row>
    <x:row r="6">
      <x:c r="A6" s="50"/>
      <x:c r="B6" s="50"/>
      <x:c r="C6" s="50"/>
      <x:c r="D6" s="68"/>
      <x:c r="E6" s="68"/>
      <x:c r="F6" s="50"/>
      <x:c r="G6" s="50"/>
      <x:c r="H6" s="50"/>
    </x:row>
    <x:row r="7">
      <x:c r="A7" s="50"/>
      <x:c r="B7" s="50"/>
      <x:c r="C7" s="50"/>
      <x:c r="D7" s="68"/>
      <x:c r="E7" s="68"/>
      <x:c r="F7" s="50"/>
      <x:c r="G7" s="50"/>
      <x:c r="H7" s="50"/>
    </x:row>
    <x:row r="8">
      <x:c r="A8" s="50"/>
      <x:c r="B8" s="50"/>
      <x:c r="C8" s="50"/>
      <x:c r="D8" s="68"/>
      <x:c r="E8" s="68"/>
      <x:c r="F8" s="50"/>
      <x:c r="G8" s="50"/>
      <x:c r="H8" s="50"/>
    </x:row>
    <x:row r="9">
      <x:c r="A9" s="50"/>
      <x:c r="B9" s="50"/>
      <x:c r="C9" s="50"/>
      <x:c r="D9" s="68"/>
      <x:c r="E9" s="68"/>
      <x:c r="F9" s="50"/>
      <x:c r="G9" s="50"/>
      <x:c r="H9" s="50"/>
    </x:row>
    <x:row r="10">
      <x:c r="A10" s="50"/>
      <x:c r="B10" s="50"/>
      <x:c r="C10" s="50"/>
      <x:c r="D10" s="68"/>
      <x:c r="E10" s="68"/>
      <x:c r="F10" s="50"/>
      <x:c r="G10" s="50"/>
      <x:c r="H10" s="50"/>
    </x:row>
    <x:row r="11">
      <x:c r="A11" s="50"/>
      <x:c r="B11" s="50"/>
      <x:c r="C11" s="50"/>
      <x:c r="D11" s="68"/>
      <x:c r="E11" s="68"/>
      <x:c r="F11" s="50"/>
      <x:c r="G11" s="50"/>
      <x:c r="H11" s="50"/>
    </x:row>
    <x:row r="12">
      <x:c r="A12" s="50"/>
      <x:c r="B12" s="50"/>
      <x:c r="C12" s="50"/>
      <x:c r="D12" s="68"/>
      <x:c r="E12" s="68"/>
      <x:c r="F12" s="50"/>
      <x:c r="G12" s="50"/>
      <x:c r="H12" s="50"/>
    </x:row>
    <x:row r="13">
      <x:c r="A13" s="50"/>
      <x:c r="B13" s="50"/>
      <x:c r="C13" s="50"/>
      <x:c r="D13" s="68"/>
      <x:c r="E13" s="68"/>
      <x:c r="F13" s="50"/>
      <x:c r="G13" s="50"/>
      <x:c r="H13" s="50"/>
    </x:row>
    <x:row r="14">
      <x:c r="A14" s="50"/>
      <x:c r="B14" s="50"/>
      <x:c r="C14" s="50"/>
      <x:c r="D14" s="68"/>
      <x:c r="E14" s="68"/>
      <x:c r="F14" s="50"/>
      <x:c r="G14" s="50"/>
      <x:c r="H14" s="50"/>
    </x:row>
    <x:row r="15">
      <x:c r="A15" s="50"/>
      <x:c r="B15" s="50"/>
      <x:c r="C15" s="50"/>
      <x:c r="D15" s="68"/>
      <x:c r="E15" s="68"/>
      <x:c r="F15" s="50"/>
      <x:c r="G15" s="50"/>
      <x:c r="H15" s="50"/>
    </x:row>
    <x:row r="16">
      <x:c r="A16" s="50"/>
      <x:c r="B16" s="50"/>
      <x:c r="C16" s="50"/>
      <x:c r="D16" s="68"/>
      <x:c r="E16" s="68"/>
      <x:c r="F16" s="50"/>
      <x:c r="G16" s="50"/>
      <x:c r="H16" s="50"/>
    </x:row>
    <x:row r="17">
      <x:c r="A17" s="50"/>
      <x:c r="B17" s="50"/>
      <x:c r="C17" s="50"/>
      <x:c r="D17" s="68"/>
      <x:c r="E17" s="68"/>
      <x:c r="F17" s="50"/>
      <x:c r="G17" s="50"/>
      <x:c r="H17" s="50"/>
    </x:row>
    <x:row r="18">
      <x:c r="A18" s="50"/>
      <x:c r="B18" s="50"/>
      <x:c r="C18" s="50"/>
      <x:c r="D18" s="68"/>
      <x:c r="E18" s="68"/>
      <x:c r="F18" s="50"/>
      <x:c r="G18" s="50"/>
      <x:c r="H18" s="50"/>
    </x:row>
    <x:row r="19">
      <x:c r="A19" s="50"/>
      <x:c r="B19" s="50"/>
      <x:c r="C19" s="50"/>
      <x:c r="D19" s="68"/>
      <x:c r="E19" s="68"/>
      <x:c r="F19" s="50"/>
      <x:c r="G19" s="50"/>
      <x:c r="H19" s="50"/>
    </x:row>
  </x:sheetData>
  <x:mergeCells>
    <x:mergeCell ref="A1:H1"/>
    <x:mergeCell ref="A2:H2"/>
  </x:mergeCells>
  <x:dataValidations count="1">
    <x:dataValidation type="list" sqref="G5:G19">
      <x:formula1>"Draft,Ready for review,Hold"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40" hidden="0" customWidth="1"/>
  </x:cols>
  <x:sheetData>
    <x:row r="1" ht="28" customHeight="1">
      <x:c r="A1" s="46" t="str">
        <x:v>Prior Period Comparison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Optional comparison layer; prior-period data is contextual and must not override current authority.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Account Code</x:v>
      </x:c>
      <x:c r="B4" s="49" t="str">
        <x:v>Current Balance</x:v>
      </x:c>
      <x:c r="C4" s="49" t="str">
        <x:v>Prior Balance</x:v>
      </x:c>
      <x:c r="D4" s="49" t="str">
        <x:v>Change</x:v>
      </x:c>
      <x:c r="E4" s="49" t="str">
        <x:v>Context Note</x:v>
      </x:c>
      <x:c r="F4" s="48"/>
      <x:c r="G4" s="48"/>
      <x:c r="H4" s="48"/>
    </x:row>
    <x:row r="5">
      <x:c r="A5" s="50"/>
      <x:c r="B5" s="68"/>
      <x:c r="C5" s="68"/>
      <x:c r="D5" s="67" t="n">
        <x:f>B5-C5</x:f>
        <x:v>0</x:v>
      </x:c>
      <x:c r="E5" s="50"/>
      <x:c r="F5" s="48"/>
      <x:c r="G5" s="48"/>
      <x:c r="H5" s="48"/>
    </x:row>
    <x:row r="6">
      <x:c r="A6" s="50"/>
      <x:c r="B6" s="68"/>
      <x:c r="C6" s="68"/>
      <x:c r="D6" s="67" t="n">
        <x:f>B6-C6</x:f>
        <x:v>0</x:v>
      </x:c>
      <x:c r="E6" s="50"/>
      <x:c r="F6" s="48"/>
      <x:c r="G6" s="48"/>
      <x:c r="H6" s="48"/>
    </x:row>
    <x:row r="7">
      <x:c r="A7" s="50"/>
      <x:c r="B7" s="68"/>
      <x:c r="C7" s="68"/>
      <x:c r="D7" s="67" t="n">
        <x:f>B7-C7</x:f>
        <x:v>0</x:v>
      </x:c>
      <x:c r="E7" s="50"/>
      <x:c r="F7" s="48"/>
      <x:c r="G7" s="48"/>
      <x:c r="H7" s="48"/>
    </x:row>
    <x:row r="8">
      <x:c r="A8" s="50"/>
      <x:c r="B8" s="68"/>
      <x:c r="C8" s="68"/>
      <x:c r="D8" s="67" t="n">
        <x:f>B8-C8</x:f>
        <x:v>0</x:v>
      </x:c>
      <x:c r="E8" s="50"/>
      <x:c r="F8" s="48"/>
      <x:c r="G8" s="48"/>
      <x:c r="H8" s="48"/>
    </x:row>
    <x:row r="9">
      <x:c r="A9" s="50"/>
      <x:c r="B9" s="68"/>
      <x:c r="C9" s="68"/>
      <x:c r="D9" s="67" t="n">
        <x:f>B9-C9</x:f>
        <x:v>0</x:v>
      </x:c>
      <x:c r="E9" s="50"/>
      <x:c r="F9" s="48"/>
      <x:c r="G9" s="48"/>
      <x:c r="H9" s="48"/>
    </x:row>
    <x:row r="10">
      <x:c r="A10" s="50"/>
      <x:c r="B10" s="68"/>
      <x:c r="C10" s="68"/>
      <x:c r="D10" s="67" t="n">
        <x:f>B10-C10</x:f>
        <x:v>0</x:v>
      </x:c>
      <x:c r="E10" s="50"/>
      <x:c r="F10" s="48"/>
      <x:c r="G10" s="48"/>
      <x:c r="H10" s="48"/>
    </x:row>
    <x:row r="11">
      <x:c r="A11" s="50"/>
      <x:c r="B11" s="68"/>
      <x:c r="C11" s="68"/>
      <x:c r="D11" s="67" t="n">
        <x:f>B11-C11</x:f>
        <x:v>0</x:v>
      </x:c>
      <x:c r="E11" s="50"/>
      <x:c r="F11" s="48"/>
      <x:c r="G11" s="48"/>
      <x:c r="H11" s="48"/>
    </x:row>
    <x:row r="12">
      <x:c r="A12" s="50"/>
      <x:c r="B12" s="68"/>
      <x:c r="C12" s="68"/>
      <x:c r="D12" s="67" t="n">
        <x:f>B12-C12</x:f>
        <x:v>0</x:v>
      </x:c>
      <x:c r="E12" s="50"/>
      <x:c r="F12" s="48"/>
      <x:c r="G12" s="48"/>
      <x:c r="H12" s="48"/>
    </x:row>
    <x:row r="13">
      <x:c r="A13" s="50"/>
      <x:c r="B13" s="68"/>
      <x:c r="C13" s="68"/>
      <x:c r="D13" s="67" t="n">
        <x:f>B13-C13</x:f>
        <x:v>0</x:v>
      </x:c>
      <x:c r="E13" s="50"/>
      <x:c r="F13" s="48"/>
      <x:c r="G13" s="48"/>
      <x:c r="H13" s="48"/>
    </x:row>
    <x:row r="14">
      <x:c r="A14" s="50"/>
      <x:c r="B14" s="68"/>
      <x:c r="C14" s="68"/>
      <x:c r="D14" s="67" t="n">
        <x:f>B14-C14</x:f>
        <x:v>0</x:v>
      </x:c>
      <x:c r="E14" s="50"/>
      <x:c r="F14" s="48"/>
      <x:c r="G14" s="48"/>
      <x:c r="H14" s="48"/>
    </x:row>
    <x:row r="15">
      <x:c r="A15" s="50"/>
      <x:c r="B15" s="68"/>
      <x:c r="C15" s="68"/>
      <x:c r="D15" s="67" t="n">
        <x:f>B15-C15</x:f>
        <x:v>0</x:v>
      </x:c>
      <x:c r="E15" s="50"/>
      <x:c r="F15" s="48"/>
      <x:c r="G15" s="48"/>
      <x:c r="H15" s="48"/>
    </x:row>
    <x:row r="16">
      <x:c r="A16" s="50"/>
      <x:c r="B16" s="68"/>
      <x:c r="C16" s="68"/>
      <x:c r="D16" s="67" t="n">
        <x:f>B16-C16</x:f>
        <x:v>0</x:v>
      </x:c>
      <x:c r="E16" s="50"/>
      <x:c r="F16" s="48"/>
      <x:c r="G16" s="48"/>
      <x:c r="H16" s="48"/>
    </x:row>
    <x:row r="17">
      <x:c r="A17" s="50"/>
      <x:c r="B17" s="68"/>
      <x:c r="C17" s="68"/>
      <x:c r="D17" s="67" t="n">
        <x:f>B17-C17</x:f>
        <x:v>0</x:v>
      </x:c>
      <x:c r="E17" s="50"/>
      <x:c r="F17" s="48"/>
      <x:c r="G17" s="48"/>
      <x:c r="H17" s="48"/>
    </x:row>
    <x:row r="18">
      <x:c r="A18" s="50"/>
      <x:c r="B18" s="68"/>
      <x:c r="C18" s="68"/>
      <x:c r="D18" s="67" t="n">
        <x:f>B18-C18</x:f>
        <x:v>0</x:v>
      </x:c>
      <x:c r="E18" s="50"/>
      <x:c r="F18" s="48"/>
      <x:c r="G18" s="48"/>
      <x:c r="H18" s="48"/>
    </x:row>
    <x:row r="19">
      <x:c r="A19" s="50"/>
      <x:c r="B19" s="68"/>
      <x:c r="C19" s="68"/>
      <x:c r="D19" s="67" t="n">
        <x:f>B19-C19</x:f>
        <x:v>0</x:v>
      </x:c>
      <x:c r="E19" s="50"/>
      <x:c r="F19" s="48"/>
      <x:c r="G19" s="48"/>
      <x:c r="H19" s="48"/>
    </x:row>
    <x:row r="20">
      <x:c r="A20" s="50"/>
      <x:c r="B20" s="68"/>
      <x:c r="C20" s="68"/>
      <x:c r="D20" s="67" t="n">
        <x:f>B20-C20</x:f>
        <x:v>0</x:v>
      </x:c>
      <x:c r="E20" s="50"/>
      <x:c r="F20" s="48"/>
      <x:c r="G20" s="48"/>
      <x:c r="H20" s="48"/>
    </x:row>
    <x:row r="21">
      <x:c r="A21" s="50"/>
      <x:c r="B21" s="68"/>
      <x:c r="C21" s="68"/>
      <x:c r="D21" s="67" t="n">
        <x:f>B21-C21</x:f>
        <x:v>0</x:v>
      </x:c>
      <x:c r="E21" s="50"/>
      <x:c r="F21" s="48"/>
      <x:c r="G21" s="48"/>
      <x:c r="H21" s="48"/>
    </x:row>
    <x:row r="22">
      <x:c r="A22" s="50"/>
      <x:c r="B22" s="68"/>
      <x:c r="C22" s="68"/>
      <x:c r="D22" s="67" t="n">
        <x:f>B22-C22</x:f>
        <x:v>0</x:v>
      </x:c>
      <x:c r="E22" s="50"/>
      <x:c r="F22" s="48"/>
      <x:c r="G22" s="48"/>
      <x:c r="H22" s="48"/>
    </x:row>
    <x:row r="23">
      <x:c r="A23" s="50"/>
      <x:c r="B23" s="68"/>
      <x:c r="C23" s="68"/>
      <x:c r="D23" s="67" t="n">
        <x:f>B23-C23</x:f>
        <x:v>0</x:v>
      </x:c>
      <x:c r="E23" s="50"/>
      <x:c r="F23" s="48"/>
      <x:c r="G23" s="48"/>
      <x:c r="H23" s="48"/>
    </x:row>
    <x:row r="24">
      <x:c r="A24" s="50"/>
      <x:c r="B24" s="68"/>
      <x:c r="C24" s="68"/>
      <x:c r="D24" s="67" t="n">
        <x:f>B24-C24</x:f>
        <x:v>0</x:v>
      </x:c>
      <x:c r="E24" s="50"/>
      <x:c r="F24" s="48"/>
      <x:c r="G24" s="48"/>
      <x:c r="H24" s="48"/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8" customHeight="1">
      <x:c r="A1" s="46" t="str">
        <x:v>Exception Log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Record only workflow-supported exceptions. Questions do not supply their own resolution.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Exception ID</x:v>
      </x:c>
      <x:c r="B4" s="49" t="str">
        <x:v>Detected In</x:v>
      </x:c>
      <x:c r="C4" s="49" t="str">
        <x:v>Question / Condition</x:v>
      </x:c>
      <x:c r="D4" s="49" t="str">
        <x:v>Authority Class</x:v>
      </x:c>
      <x:c r="E4" s="49" t="str">
        <x:v>Owner Role</x:v>
      </x:c>
      <x:c r="F4" s="49" t="str">
        <x:v>Due Date</x:v>
      </x:c>
      <x:c r="G4" s="49" t="str">
        <x:v>Status</x:v>
      </x:c>
      <x:c r="H4" s="49" t="str">
        <x:v>Resolution Reference</x:v>
      </x:c>
    </x:row>
    <x:row r="5">
      <x:c r="A5" s="50"/>
      <x:c r="B5" s="50"/>
      <x:c r="C5" s="50"/>
      <x:c r="D5" s="50"/>
      <x:c r="E5" s="50"/>
      <x:c r="F5" s="69"/>
      <x:c r="G5" s="50"/>
      <x:c r="H5" s="50"/>
    </x:row>
    <x:row r="6">
      <x:c r="A6" s="50"/>
      <x:c r="B6" s="50"/>
      <x:c r="C6" s="50"/>
      <x:c r="D6" s="50"/>
      <x:c r="E6" s="50"/>
      <x:c r="F6" s="69"/>
      <x:c r="G6" s="50"/>
      <x:c r="H6" s="50"/>
    </x:row>
    <x:row r="7">
      <x:c r="A7" s="50"/>
      <x:c r="B7" s="50"/>
      <x:c r="C7" s="50"/>
      <x:c r="D7" s="50"/>
      <x:c r="E7" s="50"/>
      <x:c r="F7" s="69"/>
      <x:c r="G7" s="50"/>
      <x:c r="H7" s="50"/>
    </x:row>
    <x:row r="8">
      <x:c r="A8" s="50"/>
      <x:c r="B8" s="50"/>
      <x:c r="C8" s="50"/>
      <x:c r="D8" s="50"/>
      <x:c r="E8" s="50"/>
      <x:c r="F8" s="69"/>
      <x:c r="G8" s="50"/>
      <x:c r="H8" s="50"/>
    </x:row>
    <x:row r="9">
      <x:c r="A9" s="50"/>
      <x:c r="B9" s="50"/>
      <x:c r="C9" s="50"/>
      <x:c r="D9" s="50"/>
      <x:c r="E9" s="50"/>
      <x:c r="F9" s="69"/>
      <x:c r="G9" s="50"/>
      <x:c r="H9" s="50"/>
    </x:row>
    <x:row r="10">
      <x:c r="A10" s="50"/>
      <x:c r="B10" s="50"/>
      <x:c r="C10" s="50"/>
      <x:c r="D10" s="50"/>
      <x:c r="E10" s="50"/>
      <x:c r="F10" s="69"/>
      <x:c r="G10" s="50"/>
      <x:c r="H10" s="50"/>
    </x:row>
    <x:row r="11">
      <x:c r="A11" s="50"/>
      <x:c r="B11" s="50"/>
      <x:c r="C11" s="50"/>
      <x:c r="D11" s="50"/>
      <x:c r="E11" s="50"/>
      <x:c r="F11" s="69"/>
      <x:c r="G11" s="50"/>
      <x:c r="H11" s="50"/>
    </x:row>
    <x:row r="12">
      <x:c r="A12" s="50"/>
      <x:c r="B12" s="50"/>
      <x:c r="C12" s="50"/>
      <x:c r="D12" s="50"/>
      <x:c r="E12" s="50"/>
      <x:c r="F12" s="69"/>
      <x:c r="G12" s="50"/>
      <x:c r="H12" s="50"/>
    </x:row>
    <x:row r="13">
      <x:c r="A13" s="50"/>
      <x:c r="B13" s="50"/>
      <x:c r="C13" s="50"/>
      <x:c r="D13" s="50"/>
      <x:c r="E13" s="50"/>
      <x:c r="F13" s="69"/>
      <x:c r="G13" s="50"/>
      <x:c r="H13" s="50"/>
    </x:row>
    <x:row r="14">
      <x:c r="A14" s="50"/>
      <x:c r="B14" s="50"/>
      <x:c r="C14" s="50"/>
      <x:c r="D14" s="50"/>
      <x:c r="E14" s="50"/>
      <x:c r="F14" s="69"/>
      <x:c r="G14" s="50"/>
      <x:c r="H14" s="50"/>
    </x:row>
    <x:row r="15">
      <x:c r="A15" s="50"/>
      <x:c r="B15" s="50"/>
      <x:c r="C15" s="50"/>
      <x:c r="D15" s="50"/>
      <x:c r="E15" s="50"/>
      <x:c r="F15" s="69"/>
      <x:c r="G15" s="50"/>
      <x:c r="H15" s="50"/>
    </x:row>
    <x:row r="16">
      <x:c r="A16" s="50"/>
      <x:c r="B16" s="50"/>
      <x:c r="C16" s="50"/>
      <x:c r="D16" s="50"/>
      <x:c r="E16" s="50"/>
      <x:c r="F16" s="69"/>
      <x:c r="G16" s="50"/>
      <x:c r="H16" s="50"/>
    </x:row>
    <x:row r="17">
      <x:c r="A17" s="50"/>
      <x:c r="B17" s="50"/>
      <x:c r="C17" s="50"/>
      <x:c r="D17" s="50"/>
      <x:c r="E17" s="50"/>
      <x:c r="F17" s="69"/>
      <x:c r="G17" s="50"/>
      <x:c r="H17" s="50"/>
    </x:row>
    <x:row r="18">
      <x:c r="A18" s="50"/>
      <x:c r="B18" s="50"/>
      <x:c r="C18" s="50"/>
      <x:c r="D18" s="50"/>
      <x:c r="E18" s="50"/>
      <x:c r="F18" s="69"/>
      <x:c r="G18" s="50"/>
      <x:c r="H18" s="50"/>
    </x:row>
    <x:row r="19">
      <x:c r="A19" s="50"/>
      <x:c r="B19" s="50"/>
      <x:c r="C19" s="50"/>
      <x:c r="D19" s="50"/>
      <x:c r="E19" s="50"/>
      <x:c r="F19" s="69"/>
      <x:c r="G19" s="50"/>
      <x:c r="H19" s="50"/>
    </x:row>
  </x:sheetData>
  <x:mergeCells>
    <x:mergeCell ref="A1:H1"/>
    <x:mergeCell ref="A2:H2"/>
  </x:mergeCells>
  <x:dataValidations count="2">
    <x:dataValidation type="list" sqref="D5:D19">
      <x:formula1>"supporting,contextual,question-only,superseded"</x:formula1>
    </x:dataValidation>
    <x:dataValidation type="list" sqref="G5:G19">
      <x:formula1>"Open,Resolved,Retained"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28" customHeight="1">
      <x:c r="A1" s="46" t="str">
        <x:v>Control Checks</x:v>
      </x:c>
      <x:c r="B1" s="46"/>
      <x:c r="C1" s="46"/>
      <x:c r="D1" s="46"/>
      <x:c r="E1" s="46"/>
      <x:c r="F1" s="46"/>
      <x:c r="G1" s="46"/>
      <x:c r="H1" s="46"/>
    </x:row>
    <x:row r="2" ht="30" customHeight="1">
      <x:c r="A2" s="47" t="str">
        <x:v>PASS indicates internal workbook checks only; it is not evidence of approval or release.</x:v>
      </x:c>
      <x:c r="B2" s="47"/>
      <x:c r="C2" s="47"/>
      <x:c r="D2" s="47"/>
      <x:c r="E2" s="47"/>
      <x:c r="F2" s="47"/>
      <x:c r="G2" s="47"/>
      <x:c r="H2" s="47"/>
    </x:row>
    <x:row r="3">
      <x:c r="A3" s="48"/>
      <x:c r="B3" s="48"/>
      <x:c r="C3" s="48"/>
      <x:c r="D3" s="48"/>
      <x:c r="E3" s="48"/>
      <x:c r="F3" s="48"/>
      <x:c r="G3" s="48"/>
      <x:c r="H3" s="48"/>
    </x:row>
    <x:row r="4">
      <x:c r="A4" s="49" t="str">
        <x:v>Check</x:v>
      </x:c>
      <x:c r="B4" s="49" t="str">
        <x:v>Result</x:v>
      </x:c>
      <x:c r="C4" s="49" t="str">
        <x:v>Delta / Count</x:v>
      </x:c>
      <x:c r="D4" s="49" t="str">
        <x:v>Where to fix</x:v>
      </x:c>
      <x:c r="E4" s="48"/>
      <x:c r="F4" s="48"/>
      <x:c r="G4" s="48"/>
      <x:c r="H4" s="48"/>
    </x:row>
    <x:row r="5">
      <x:c r="A5" s="48" t="str">
        <x:v>Source debits equal source credits</x:v>
      </x:c>
      <x:c r="B5" s="48" t="str">
        <x:f>IF(C5=0,"PASS","FAIL")</x:f>
        <x:v>PASS</x:v>
      </x:c>
      <x:c r="C5" s="48" t="n">
        <x:f>SUM('Source_Data'!$F$5:$F$29)-SUM('Source_Data'!$G$5:$G$29)</x:f>
        <x:v>0</x:v>
      </x:c>
      <x:c r="D5" s="48" t="str">
        <x:v>Source_Data</x:v>
      </x:c>
      <x:c r="E5" s="48"/>
      <x:c r="F5" s="48"/>
      <x:c r="G5" s="48"/>
      <x:c r="H5" s="48"/>
    </x:row>
    <x:row r="6">
      <x:c r="A6" s="48" t="str">
        <x:v>Proposed debits equal proposed credits</x:v>
      </x:c>
      <x:c r="B6" s="48" t="str">
        <x:f>IF(C6=0,"PASS","FAIL")</x:f>
        <x:v>PASS</x:v>
      </x:c>
      <x:c r="C6" s="48" t="n">
        <x:f>SUM('Proposed_Entries'!$D$5:$D$19)-SUM('Proposed_Entries'!$E$5:$E$19)</x:f>
        <x:v>0</x:v>
      </x:c>
      <x:c r="D6" s="48" t="str">
        <x:v>Proposed_Entries</x:v>
      </x:c>
      <x:c r="E6" s="48"/>
      <x:c r="F6" s="48"/>
      <x:c r="G6" s="48"/>
      <x:c r="H6" s="48"/>
    </x:row>
    <x:row r="7">
      <x:c r="A7" s="48" t="str">
        <x:v>No reconciliation rows require review</x:v>
      </x:c>
      <x:c r="B7" s="48" t="str">
        <x:f>IF(C7=0,"PASS","FAIL")</x:f>
        <x:v>PASS</x:v>
      </x:c>
      <x:c r="C7" s="48" t="n">
        <x:f>COUNTIF('Reconciliation'!$G$5:$G$24,"REVIEW")</x:f>
        <x:v>0</x:v>
      </x:c>
      <x:c r="D7" s="48" t="str">
        <x:v>Reconciliation</x:v>
      </x:c>
      <x:c r="E7" s="48"/>
      <x:c r="F7" s="48"/>
      <x:c r="G7" s="48"/>
      <x:c r="H7" s="48"/>
    </x:row>
    <x:row r="8">
      <x:c r="A8" s="48" t="str">
        <x:v>No open exceptions</x:v>
      </x:c>
      <x:c r="B8" s="48" t="str">
        <x:f>IF(C8=0,"PASS","FAIL")</x:f>
        <x:v>PASS</x:v>
      </x:c>
      <x:c r="C8" s="48" t="n">
        <x:f>COUNTIF('Exceptions'!$G$5:$G$19,"Open")</x:f>
        <x:v>0</x:v>
      </x:c>
      <x:c r="D8" s="48" t="str">
        <x:v>Exceptions</x:v>
      </x:c>
      <x:c r="E8" s="48"/>
      <x:c r="F8" s="48"/>
      <x:c r="G8" s="48"/>
      <x:c r="H8" s="48"/>
    </x:row>
    <x:row r="9">
      <x:c r="A9" s="48" t="str">
        <x:v>All required build-time slots replaced</x:v>
      </x:c>
      <x:c r="B9" s="48" t="str">
        <x:f>IF(C9=0,"PASS","FAIL")</x:f>
        <x:v>FAIL</x:v>
      </x:c>
      <x:c r="C9" s="48" t="n">
        <x:f>IF(OR('Instructions'!B5="{{organization_name}}",'Instructions'!B6="{{close_period_end}}",'Instructions'!B7="{{preparer_role}}",'Instructions'!B8="{{reviewer_role}}"),1,0)</x:f>
        <x:v>1</x:v>
      </x:c>
      <x:c r="D9" s="48" t="str">
        <x:v>Instructions</x:v>
      </x:c>
      <x:c r="E9" s="48"/>
      <x:c r="F9" s="48"/>
      <x:c r="G9" s="48"/>
      <x:c r="H9" s="48"/>
    </x:row>
    <x:row r="10">
      <x:c r="A10" s="48"/>
      <x:c r="B10" s="48"/>
      <x:c r="C10" s="48"/>
      <x:c r="D10" s="48"/>
      <x:c r="E10" s="48"/>
      <x:c r="F10" s="48"/>
      <x:c r="G10" s="48"/>
      <x:c r="H10" s="48"/>
    </x:row>
    <x:row r="11">
      <x:c r="A11" s="49" t="str">
        <x:v>MODEL STATUS</x:v>
      </x:c>
      <x:c r="B11" s="49" t="str">
        <x:v>Formula</x:v>
      </x:c>
      <x:c r="C11" s="48"/>
      <x:c r="D11" s="48"/>
      <x:c r="E11" s="48"/>
      <x:c r="F11" s="48"/>
      <x:c r="G11" s="48"/>
      <x:c r="H11" s="48"/>
    </x:row>
    <x:row r="12">
      <x:c r="A12" s="48" t="str">
        <x:v>Status</x:v>
      </x:c>
      <x:c r="B12" s="70" t="str">
        <x:f>IF(COUNTIF(B5:B9,"FAIL")=0,"PASS","FAIL")</x:f>
        <x:v>FAIL</x:v>
      </x:c>
      <x:c r="C12" s="48"/>
      <x:c r="D12" s="48"/>
      <x:c r="E12" s="48"/>
      <x:c r="F12" s="48"/>
      <x:c r="G12" s="48"/>
      <x:c r="H12" s="48"/>
    </x:row>
  </x:sheetData>
  <x:mergeCells>
    <x:mergeCell ref="A1:H1"/>
    <x:mergeCell ref="A2:H2"/>
  </x:mergeCells>
  <x:conditionalFormatting sqref="B5:B9">
    <x:cfRule type="containsText" dxfId="2" priority="1" operator="containsText" text="PASS"/>
    <x:cfRule type="containsText" dxfId="3" priority="2" operator="containsText" text="FAIL"/>
  </x:conditionalFormatting>
  <x:pageMargins left="0.7" right="0.7" top="0.75" bottom="0.75" header="0.3" footer="0.3"/>
</x:worksheet>
</file>