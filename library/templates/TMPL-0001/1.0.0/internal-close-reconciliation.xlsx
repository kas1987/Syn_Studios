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sheets/sheet6.xml" ContentType="application/vnd.openxmlformats-officedocument.spreadsheetml.worksheet+xml"/>
  <Override PartName="/xl/tables/table5.xml" ContentType="application/vnd.openxmlformats-officedocument.spreadsheetml.table+xml"/>
  <Override PartName="/xl/worksheets/sheet7.xml" ContentType="application/vnd.openxmlformats-officedocument.spreadsheetml.worksheet+xml"/>
  <Override PartName="/xl/tables/table6.xml" ContentType="application/vnd.openxmlformats-officedocument.spreadsheetml.table+xml"/>
  <Override PartName="/xl/worksheets/sheet8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ae1b9ba3f0804261" /></Relationships>
</file>

<file path=xl/workbook.xml><?xml version="1.0" encoding="utf-8"?>
<workbook xmlns="http://schemas.openxmlformats.org/spreadsheetml/2006/main" xmlns:r="http://schemas.openxmlformats.org/officeDocument/2006/relationships">
  <sheets>
    <sheet name="Close_Control" sheetId="1" r:id="R7e17d192f9f34e4c"/>
    <sheet name="Source_Data" sheetId="2" r:id="Rdf0ddfa473394c46"/>
    <sheet name="Account_Map" sheetId="3" r:id="R5751a82c8539442e"/>
    <sheet name="Reconciliation" sheetId="4" r:id="R16f41c6040d141bf"/>
    <sheet name="Proposed_Entries" sheetId="5" r:id="R18ed4b06fd0c4765"/>
    <sheet name="Prior_Period" sheetId="6" r:id="Rb3d0f34732494bcf"/>
    <sheet name="Exceptions" sheetId="7" r:id="Rbd3a1441b7174543"/>
    <sheet name="Checks" sheetId="8" r:id="R85192488b71c4a2b"/>
  </sheets>
  <definedNames>
    <definedName name="_xlnm.Print_Area" localSheetId="0">'Close_Control'!$A$1:$H$16</definedName>
    <definedName name="_xlnm.Print_Area" localSheetId="1">'Source_Data'!$A$1:$H$29</definedName>
    <definedName name="_xlnm.Print_Area" localSheetId="2">'Account_Map'!$A$1:$E$29</definedName>
    <definedName name="_xlnm.Print_Area" localSheetId="3">'Reconciliation'!$A$1:$H$24</definedName>
    <definedName name="_xlnm.Print_Area" localSheetId="4">'Proposed_Entries'!$A$1:$H$19</definedName>
    <definedName name="_xlnm.Print_Area" localSheetId="5">'Prior_Period'!$A$1:$E$24</definedName>
    <definedName name="_xlnm.Print_Area" localSheetId="6">'Exceptions'!$A$1:$H$19</definedName>
    <definedName name="_xlnm.Print_Area" localSheetId="7">'Checks'!$A$1:$D$14</definedName>
  </definedNames>
</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2">
    <x:numFmt numFmtId="200" formatCode="yyyy-mm-dd"/>
    <x:numFmt numFmtId="201" formatCode="$#,##0.00;[Red]($#,##0.00);-"/>
  </x:numFmts>
  <x:fonts count="10">
    <x:font>
      <x:sz val="11"/>
      <x:name val="Carlito"/>
    </x:font>
    <x:font>
      <x:b/>
      <x:sz val="16"/>
      <x:color rgb="FFFFFFFF"/>
      <x:name val="Carlito"/>
    </x:font>
    <x:font>
      <x:i/>
      <x:sz val="11"/>
      <x:color rgb="FF44546A"/>
      <x:name val="Carlito"/>
    </x:font>
    <x:font>
      <x:b/>
      <x:sz val="11"/>
      <x:color rgb="FF17365D"/>
      <x:name val="Carlito"/>
    </x:font>
    <x:font>
      <x:b/>
      <x:sz val="14"/>
      <x:name val="Carlito"/>
    </x:font>
    <x:font>
      <x:b/>
      <x:sz val="10"/>
      <x:color rgb="FFFFFFFF"/>
      <x:name val="Aptos"/>
    </x:font>
    <x:font>
      <x:i/>
      <x:sz val="10"/>
      <x:color rgb="FF44546A"/>
      <x:name val="Aptos"/>
    </x:font>
    <x:font>
      <x:sz val="10"/>
      <x:name val="Aptos"/>
    </x:font>
    <x:font>
      <x:b/>
      <x:sz val="10"/>
      <x:color rgb="FF17365D"/>
      <x:name val="Aptos"/>
    </x:font>
    <x:font>
      <x:b/>
      <x:sz val="10"/>
      <x:name val="Aptos"/>
    </x:font>
  </x:fonts>
  <x:fills count="6">
    <x:fill>
      <x:patternFill patternType="none"/>
    </x:fill>
    <x:fill>
      <x:patternFill patternType="gray125"/>
    </x:fill>
    <x:fill>
      <x:patternFill patternType="solid">
        <x:fgColor rgb="FF17365D"/>
      </x:patternFill>
    </x:fill>
    <x:fill>
      <x:patternFill patternType="solid">
        <x:fgColor rgb="FFF3F6F9"/>
      </x:patternFill>
    </x:fill>
    <x:fill>
      <x:patternFill patternType="solid">
        <x:fgColor rgb="FFD9EAF7"/>
      </x:patternFill>
    </x:fill>
    <x:fill>
      <x:patternFill patternType="solid">
        <x:fgColor rgb="FFFFF2CC"/>
      </x:patternFill>
    </x:fill>
  </x:fills>
  <x:borders count="11">
    <x:border/>
    <x:border>
      <x:left style="thin">
        <x:color rgb="FFB4C6E7"/>
      </x:left>
      <x:right style="thin">
        <x:color rgb="FFB4C6E7"/>
      </x:right>
      <x:top style="thin">
        <x:color rgb="FFB4C6E7"/>
      </x:top>
      <x:bottom style="thin">
        <x:color rgb="FFB4C6E7"/>
      </x:bottom>
    </x:border>
    <x:border>
      <x:right style="thin">
        <x:color rgb="FFE7E6E6"/>
      </x:right>
      <x:bottom style="thin">
        <x:color rgb="FFE7E6E6"/>
      </x:bottom>
    </x:border>
    <x:border>
      <x:left style="thin">
        <x:color rgb="FFE7E6E6"/>
      </x:left>
      <x:right style="thin">
        <x:color rgb="FFE7E6E6"/>
      </x:right>
      <x:bottom style="thin">
        <x:color rgb="FFE7E6E6"/>
      </x:bottom>
    </x:border>
    <x:border>
      <x:left style="thin">
        <x:color rgb="FFE7E6E6"/>
      </x:left>
      <x:bottom style="thin">
        <x:color rgb="FFE7E6E6"/>
      </x:bottom>
    </x:border>
    <x:border>
      <x:right style="thin">
        <x:color rgb="FFE7E6E6"/>
      </x:right>
      <x:top style="thin">
        <x:color rgb="FFE7E6E6"/>
      </x:top>
      <x:bottom style="thin">
        <x:color rgb="FFE7E6E6"/>
      </x:bottom>
    </x:border>
    <x:border>
      <x:left style="thin">
        <x:color rgb="FFE7E6E6"/>
      </x:left>
      <x:right style="thin">
        <x:color rgb="FFE7E6E6"/>
      </x:right>
      <x:top style="thin">
        <x:color rgb="FFE7E6E6"/>
      </x:top>
      <x:bottom style="thin">
        <x:color rgb="FFE7E6E6"/>
      </x:bottom>
    </x:border>
    <x:border>
      <x:left style="thin">
        <x:color rgb="FFE7E6E6"/>
      </x:left>
      <x:top style="thin">
        <x:color rgb="FFE7E6E6"/>
      </x:top>
      <x:bottom style="thin">
        <x:color rgb="FFE7E6E6"/>
      </x:bottom>
    </x:border>
    <x:border>
      <x:right style="thin">
        <x:color rgb="FFE7E6E6"/>
      </x:right>
      <x:top style="thin">
        <x:color rgb="FFE7E6E6"/>
      </x:top>
    </x:border>
    <x:border>
      <x:left style="thin">
        <x:color rgb="FFE7E6E6"/>
      </x:left>
      <x:right style="thin">
        <x:color rgb="FFE7E6E6"/>
      </x:right>
      <x:top style="thin">
        <x:color rgb="FFE7E6E6"/>
      </x:top>
    </x:border>
    <x:border>
      <x:left style="thin">
        <x:color rgb="FFE7E6E6"/>
      </x:left>
      <x:top style="thin">
        <x:color rgb="FFE7E6E6"/>
      </x:top>
    </x:border>
  </x:borders>
  <x:cellStyleXfs count="1">
    <x:xf numFmtId="0" fontId="0" fillId="0" borderId="0"/>
  </x:cellStyleXfs>
  <x:cellXfs count="71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0" xfId="0" applyNumberFormat="1" applyFont="1" applyFill="1" applyBorder="1" applyAlignment="1">
      <x:alignment wrapText="1"/>
    </x:xf>
    <x:xf numFmtId="0" fontId="0" fillId="4" borderId="0" xfId="0" applyNumberFormat="1" applyFont="1" applyFill="1" applyBorder="1"/>
    <x:xf numFmtId="0" fontId="3" fillId="4" borderId="0" xfId="0" applyNumberFormat="1" applyFont="1" applyFill="1" applyBorder="1"/>
    <x:xf numFmtId="0" fontId="3" fillId="4" borderId="1" xfId="0" applyNumberFormat="1" applyFont="1" applyFill="1" applyBorder="1"/>
    <x:xf numFmtId="0" fontId="3" fillId="4" borderId="1" xfId="0" applyNumberFormat="1" applyFont="1" applyFill="1" applyBorder="1" applyAlignment="1">
      <x:alignment wrapText="1"/>
    </x:xf>
    <x:xf numFmtId="0" fontId="0" fillId="5" borderId="0" xfId="0" applyNumberFormat="1" applyFont="1" applyFill="1" applyBorder="1"/>
    <x:xf numFmtId="0" fontId="0" fillId="0" borderId="2" xfId="0" applyNumberFormat="1" applyFont="1" applyFill="1" applyBorder="1"/>
    <x:xf numFmtId="0" fontId="0" fillId="0" borderId="3" xfId="0" applyNumberFormat="1" applyFont="1" applyFill="1" applyBorder="1"/>
    <x:xf numFmtId="0" fontId="0" fillId="0" borderId="4" xfId="0" applyNumberFormat="1" applyFont="1" applyFill="1" applyBorder="1"/>
    <x:xf numFmtId="0" fontId="0" fillId="0" borderId="5" xfId="0" applyNumberFormat="1" applyFont="1" applyFill="1" applyBorder="1"/>
    <x:xf numFmtId="0" fontId="0" fillId="0" borderId="6" xfId="0" applyNumberFormat="1" applyFont="1" applyFill="1" applyBorder="1"/>
    <x:xf numFmtId="0" fontId="0" fillId="0" borderId="7" xfId="0" applyNumberFormat="1" applyFont="1" applyFill="1" applyBorder="1"/>
    <x:xf numFmtId="0" fontId="0" fillId="0" borderId="8" xfId="0" applyNumberFormat="1" applyFont="1" applyFill="1" applyBorder="1"/>
    <x:xf numFmtId="0" fontId="0" fillId="0" borderId="9" xfId="0" applyNumberFormat="1" applyFont="1" applyFill="1" applyBorder="1"/>
    <x:xf numFmtId="0" fontId="0" fillId="0" borderId="10" xfId="0" applyNumberFormat="1" applyFont="1" applyFill="1" applyBorder="1"/>
    <x:xf numFmtId="200" fontId="0" fillId="0" borderId="3" xfId="0" applyNumberFormat="1" applyFont="1" applyFill="1" applyBorder="1"/>
    <x:xf numFmtId="200" fontId="0" fillId="0" borderId="6" xfId="0" applyNumberFormat="1" applyFont="1" applyFill="1" applyBorder="1"/>
    <x:xf numFmtId="200" fontId="0" fillId="0" borderId="9" xfId="0" applyNumberFormat="1" applyFont="1" applyFill="1" applyBorder="1"/>
    <x:xf numFmtId="201" fontId="0" fillId="0" borderId="3" xfId="0" applyNumberFormat="1" applyFont="1" applyFill="1" applyBorder="1"/>
    <x:xf numFmtId="201" fontId="0" fillId="0" borderId="6" xfId="0" applyNumberFormat="1" applyFont="1" applyFill="1" applyBorder="1"/>
    <x:xf numFmtId="201" fontId="0" fillId="0" borderId="9" xfId="0" applyNumberFormat="1" applyFont="1" applyFill="1" applyBorder="1"/>
    <x:xf numFmtId="0" fontId="3" fillId="4" borderId="1" xfId="0" applyNumberFormat="1" applyFont="1" applyFill="1" applyBorder="1" applyAlignment="1">
      <x:alignment wrapText="0"/>
    </x:xf>
    <x:xf numFmtId="0" fontId="0" fillId="0" borderId="2" xfId="0" applyNumberFormat="1" applyFont="1" applyFill="1" applyBorder="1" applyAlignment="1">
      <x:alignment wrapText="0"/>
    </x:xf>
    <x:xf numFmtId="0" fontId="0" fillId="0" borderId="3" xfId="0" applyNumberFormat="1" applyFont="1" applyFill="1" applyBorder="1" applyAlignment="1">
      <x:alignment wrapText="0"/>
    </x:xf>
    <x:xf numFmtId="200" fontId="0" fillId="0" borderId="3" xfId="0" applyNumberFormat="1" applyFont="1" applyFill="1" applyBorder="1" applyAlignment="1">
      <x:alignment wrapText="0"/>
    </x:xf>
    <x:xf numFmtId="201" fontId="0" fillId="0" borderId="3" xfId="0" applyNumberFormat="1" applyFont="1" applyFill="1" applyBorder="1" applyAlignment="1">
      <x:alignment wrapText="0"/>
    </x:xf>
    <x:xf numFmtId="0" fontId="0" fillId="0" borderId="4" xfId="0" applyNumberFormat="1" applyFont="1" applyFill="1" applyBorder="1" applyAlignment="1">
      <x:alignment wrapText="0"/>
    </x:xf>
    <x:xf numFmtId="0" fontId="0" fillId="0" borderId="5" xfId="0" applyNumberFormat="1" applyFont="1" applyFill="1" applyBorder="1" applyAlignment="1">
      <x:alignment wrapText="0"/>
    </x:xf>
    <x:xf numFmtId="0" fontId="0" fillId="0" borderId="6" xfId="0" applyNumberFormat="1" applyFont="1" applyFill="1" applyBorder="1" applyAlignment="1">
      <x:alignment wrapText="0"/>
    </x:xf>
    <x:xf numFmtId="200" fontId="0" fillId="0" borderId="6" xfId="0" applyNumberFormat="1" applyFont="1" applyFill="1" applyBorder="1" applyAlignment="1">
      <x:alignment wrapText="0"/>
    </x:xf>
    <x:xf numFmtId="201" fontId="0" fillId="0" borderId="6" xfId="0" applyNumberFormat="1" applyFont="1" applyFill="1" applyBorder="1" applyAlignment="1">
      <x:alignment wrapText="0"/>
    </x:xf>
    <x:xf numFmtId="0" fontId="0" fillId="0" borderId="7" xfId="0" applyNumberFormat="1" applyFont="1" applyFill="1" applyBorder="1" applyAlignment="1">
      <x:alignment wrapText="0"/>
    </x:xf>
    <x:xf numFmtId="0" fontId="0" fillId="0" borderId="8" xfId="0" applyNumberFormat="1" applyFont="1" applyFill="1" applyBorder="1" applyAlignment="1">
      <x:alignment wrapText="0"/>
    </x:xf>
    <x:xf numFmtId="0" fontId="0" fillId="0" borderId="9" xfId="0" applyNumberFormat="1" applyFont="1" applyFill="1" applyBorder="1" applyAlignment="1">
      <x:alignment wrapText="0"/>
    </x:xf>
    <x:xf numFmtId="200" fontId="0" fillId="0" borderId="9" xfId="0" applyNumberFormat="1" applyFont="1" applyFill="1" applyBorder="1" applyAlignment="1">
      <x:alignment wrapText="0"/>
    </x:xf>
    <x:xf numFmtId="201" fontId="0" fillId="0" borderId="9" xfId="0" applyNumberFormat="1" applyFont="1" applyFill="1" applyBorder="1" applyAlignment="1">
      <x:alignment wrapText="0"/>
    </x:xf>
    <x:xf numFmtId="0" fontId="0" fillId="0" borderId="10" xfId="0" applyNumberFormat="1" applyFont="1" applyFill="1" applyBorder="1" applyAlignment="1">
      <x:alignment wrapText="0"/>
    </x:xf>
    <x:xf numFmtId="201" fontId="0" fillId="0" borderId="0" xfId="0" applyNumberFormat="1" applyFont="1" applyFill="1" applyBorder="1"/>
    <x:xf numFmtId="201" fontId="0" fillId="5" borderId="0" xfId="0" applyNumberFormat="1" applyFont="1" applyFill="1" applyBorder="1"/>
    <x:xf numFmtId="200" fontId="0" fillId="5" borderId="0" xfId="0" applyNumberFormat="1" applyFont="1" applyFill="1" applyBorder="1"/>
    <x:xf numFmtId="0" fontId="4" fillId="3" borderId="0" xfId="0" applyNumberFormat="1" applyFont="1" applyFill="1" applyBorder="1"/>
    <x:xf numFmtId="0" fontId="5" fillId="2" borderId="0" xfId="0" applyNumberFormat="1" applyFont="1" applyFill="1" applyBorder="1"/>
    <x:xf numFmtId="0" fontId="6" fillId="3" borderId="0" xfId="0" applyNumberFormat="1" applyFont="1" applyFill="1" applyBorder="1" applyAlignment="1">
      <x:alignment wrapText="1"/>
    </x:xf>
    <x:xf numFmtId="0" fontId="7" fillId="0" borderId="0" xfId="0" applyNumberFormat="1" applyFont="1" applyFill="1" applyBorder="1"/>
    <x:xf numFmtId="0" fontId="8" fillId="4" borderId="1" xfId="0" applyNumberFormat="1" applyFont="1" applyFill="1" applyBorder="1" applyAlignment="1">
      <x:alignment wrapText="1"/>
    </x:xf>
    <x:xf numFmtId="0" fontId="7" fillId="5" borderId="0" xfId="0" applyNumberFormat="1" applyFont="1" applyFill="1" applyBorder="1"/>
    <x:xf numFmtId="0" fontId="8" fillId="4" borderId="1" xfId="0" applyNumberFormat="1" applyFont="1" applyFill="1" applyBorder="1" applyAlignment="1">
      <x:alignment wrapText="0"/>
    </x:xf>
    <x:xf numFmtId="0" fontId="7" fillId="0" borderId="2" xfId="0" applyNumberFormat="1" applyFont="1" applyFill="1" applyBorder="1" applyAlignment="1">
      <x:alignment wrapText="0"/>
    </x:xf>
    <x:xf numFmtId="0" fontId="7" fillId="0" borderId="3" xfId="0" applyNumberFormat="1" applyFont="1" applyFill="1" applyBorder="1" applyAlignment="1">
      <x:alignment wrapText="0"/>
    </x:xf>
    <x:xf numFmtId="200" fontId="7" fillId="0" borderId="3" xfId="0" applyNumberFormat="1" applyFont="1" applyFill="1" applyBorder="1" applyAlignment="1">
      <x:alignment wrapText="0"/>
    </x:xf>
    <x:xf numFmtId="201" fontId="7" fillId="0" borderId="3" xfId="0" applyNumberFormat="1" applyFont="1" applyFill="1" applyBorder="1" applyAlignment="1">
      <x:alignment wrapText="0"/>
    </x:xf>
    <x:xf numFmtId="0" fontId="7" fillId="0" borderId="4" xfId="0" applyNumberFormat="1" applyFont="1" applyFill="1" applyBorder="1" applyAlignment="1">
      <x:alignment wrapText="0"/>
    </x:xf>
    <x:xf numFmtId="0" fontId="7" fillId="0" borderId="5" xfId="0" applyNumberFormat="1" applyFont="1" applyFill="1" applyBorder="1" applyAlignment="1">
      <x:alignment wrapText="0"/>
    </x:xf>
    <x:xf numFmtId="0" fontId="7" fillId="0" borderId="6" xfId="0" applyNumberFormat="1" applyFont="1" applyFill="1" applyBorder="1" applyAlignment="1">
      <x:alignment wrapText="0"/>
    </x:xf>
    <x:xf numFmtId="200" fontId="7" fillId="0" borderId="6" xfId="0" applyNumberFormat="1" applyFont="1" applyFill="1" applyBorder="1" applyAlignment="1">
      <x:alignment wrapText="0"/>
    </x:xf>
    <x:xf numFmtId="201" fontId="7" fillId="0" borderId="6" xfId="0" applyNumberFormat="1" applyFont="1" applyFill="1" applyBorder="1" applyAlignment="1">
      <x:alignment wrapText="0"/>
    </x:xf>
    <x:xf numFmtId="0" fontId="7" fillId="0" borderId="7" xfId="0" applyNumberFormat="1" applyFont="1" applyFill="1" applyBorder="1" applyAlignment="1">
      <x:alignment wrapText="0"/>
    </x:xf>
    <x:xf numFmtId="0" fontId="7" fillId="0" borderId="8" xfId="0" applyNumberFormat="1" applyFont="1" applyFill="1" applyBorder="1" applyAlignment="1">
      <x:alignment wrapText="0"/>
    </x:xf>
    <x:xf numFmtId="0" fontId="7" fillId="0" borderId="9" xfId="0" applyNumberFormat="1" applyFont="1" applyFill="1" applyBorder="1" applyAlignment="1">
      <x:alignment wrapText="0"/>
    </x:xf>
    <x:xf numFmtId="200" fontId="7" fillId="0" borderId="9" xfId="0" applyNumberFormat="1" applyFont="1" applyFill="1" applyBorder="1" applyAlignment="1">
      <x:alignment wrapText="0"/>
    </x:xf>
    <x:xf numFmtId="201" fontId="7" fillId="0" borderId="9" xfId="0" applyNumberFormat="1" applyFont="1" applyFill="1" applyBorder="1" applyAlignment="1">
      <x:alignment wrapText="0"/>
    </x:xf>
    <x:xf numFmtId="0" fontId="7" fillId="0" borderId="10" xfId="0" applyNumberFormat="1" applyFont="1" applyFill="1" applyBorder="1" applyAlignment="1">
      <x:alignment wrapText="0"/>
    </x:xf>
    <x:xf numFmtId="201" fontId="7" fillId="0" borderId="0" xfId="0" applyNumberFormat="1" applyFont="1" applyFill="1" applyBorder="1"/>
    <x:xf numFmtId="201" fontId="7" fillId="5" borderId="0" xfId="0" applyNumberFormat="1" applyFont="1" applyFill="1" applyBorder="1"/>
    <x:xf numFmtId="200" fontId="7" fillId="5" borderId="0" xfId="0" applyNumberFormat="1" applyFont="1" applyFill="1" applyBorder="1"/>
    <x:xf numFmtId="0" fontId="9" fillId="3" borderId="0" xfId="0" applyNumberFormat="1" applyFont="1" applyFill="1" applyBorder="1"/>
  </x:cellXfs>
  <x:cellStyles count="1">
    <x:cellStyle name="Normal" xfId="0"/>
  </x:cellStyles>
  <x:dxfs count="5">
    <x:dxf>
      <x:font>
        <x:color rgb="FF375623"/>
      </x:font>
      <x:fill>
        <x:patternFill patternType="solid">
          <x:bgColor rgb="FFE2F0D9"/>
        </x:patternFill>
      </x:fill>
    </x:dxf>
    <x:dxf>
      <x:font>
        <x:color rgb="FF9C0006"/>
      </x:font>
      <x:fill>
        <x:patternFill patternType="solid">
          <x:bgColor rgb="FFFCE4D6"/>
        </x:patternFill>
      </x:fill>
    </x:dxf>
    <x:dxf>
      <x:font>
        <x:b/>
        <x:color rgb="FF375623"/>
      </x:font>
      <x:fill>
        <x:patternFill patternType="solid">
          <x:bgColor rgb="FFE2F0D9"/>
        </x:patternFill>
      </x:fill>
    </x:dxf>
    <x:dxf>
      <x:font>
        <x:b/>
        <x:color rgb="FF9C0006"/>
      </x:font>
      <x:fill>
        <x:patternFill patternType="solid">
          <x:bgColor rgb="FFFCE4D6"/>
        </x:patternFill>
      </x:fill>
    </x:dxf>
    <x:dxf>
      <x:font>
        <x:b/>
        <x:color rgb="FF7F6000"/>
      </x:font>
      <x:fill>
        <x:patternFill patternType="solid">
          <x:bgColor rgb="FFFFF2CC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b3dea6b8504e4356" /><Relationship Type="http://schemas.openxmlformats.org/officeDocument/2006/relationships/theme" Target="/xl/theme/theme1.xml" Id="Re8e469d548744d7d" /><Relationship Type="http://schemas.openxmlformats.org/officeDocument/2006/relationships/sharedStrings" Target="/xl/sharedStrings.xml" Id="R3f99a31633654ed4" /><Relationship Type="http://schemas.openxmlformats.org/officeDocument/2006/relationships/worksheet" Target="/xl/worksheets/sheet1.xml" Id="R7e17d192f9f34e4c" /><Relationship Type="http://schemas.openxmlformats.org/officeDocument/2006/relationships/worksheet" Target="/xl/worksheets/sheet2.xml" Id="Rdf0ddfa473394c46" /><Relationship Type="http://schemas.openxmlformats.org/officeDocument/2006/relationships/worksheet" Target="/xl/worksheets/sheet3.xml" Id="R5751a82c8539442e" /><Relationship Type="http://schemas.openxmlformats.org/officeDocument/2006/relationships/worksheet" Target="/xl/worksheets/sheet4.xml" Id="R16f41c6040d141bf" /><Relationship Type="http://schemas.openxmlformats.org/officeDocument/2006/relationships/worksheet" Target="/xl/worksheets/sheet5.xml" Id="R18ed4b06fd0c4765" /><Relationship Type="http://schemas.openxmlformats.org/officeDocument/2006/relationships/worksheet" Target="/xl/worksheets/sheet6.xml" Id="Rb3d0f34732494bcf" /><Relationship Type="http://schemas.openxmlformats.org/officeDocument/2006/relationships/worksheet" Target="/xl/worksheets/sheet7.xml" Id="Rbd3a1441b7174543" /><Relationship Type="http://schemas.openxmlformats.org/officeDocument/2006/relationships/worksheet" Target="/xl/worksheets/sheet8.xml" Id="R85192488b71c4a2b" /></Relationships>
</file>

<file path=xl/tables/table1.xml><?xml version="1.0" encoding="utf-8"?>
<x:table xmlns:x="http://schemas.openxmlformats.org/spreadsheetml/2006/main" id="1" name="SourceDataTable" displayName="SourceDataTable" ref="A4:H29" headerRowCount="1" totalsRowCount="0" totalsRowShown="0">
  <x:tableColumns count="8">
    <x:tableColumn id="1" name="Source Row ID"/>
    <x:tableColumn id="2" name="Entity Code"/>
    <x:tableColumn id="3" name="Account Code"/>
    <x:tableColumn id="4" name="Transaction Date"/>
    <x:tableColumn id="5" name="Description"/>
    <x:tableColumn id="6" name="Debit"/>
    <x:tableColumn id="7" name="Credit"/>
    <x:tableColumn id="8" name="Status Code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2" name="AccountMapTable" displayName="AccountMapTable" ref="A4:E29" headerRowCount="1" totalsRowCount="0" totalsRowShown="0">
  <x:tableColumns count="5">
    <x:tableColumn id="1" name="Account Code"/>
    <x:tableColumn id="2" name="Account Name"/>
    <x:tableColumn id="3" name="Statement Group"/>
    <x:tableColumn id="4" name="Reconciliation Owner Role"/>
    <x:tableColumn id="5" name="Active?"/>
  </x:tableColumns>
  <x:tableStyleInfo name="TableStyleMedium2" showFirstColumn="0" showLastColumn="0" showRowStripes="1" showColumnStripes="0"/>
</x:table>
</file>

<file path=xl/tables/table3.xml><?xml version="1.0" encoding="utf-8"?>
<x:table xmlns:x="http://schemas.openxmlformats.org/spreadsheetml/2006/main" id="3" name="ReconciliationTable" displayName="ReconciliationTable" ref="A4:H24" headerRowCount="1" totalsRowCount="0" totalsRowShown="0">
  <x:tableColumns count="8">
    <x:tableColumn id="1" name="Account Code"/>
    <x:tableColumn id="2" name="Account Name"/>
    <x:tableColumn id="3" name="Source Net"/>
    <x:tableColumn id="4" name="Ledger Balance"/>
    <x:tableColumn id="5" name="Difference"/>
    <x:tableColumn id="6" name="Threshold"/>
    <x:tableColumn id="7" name="Status"/>
    <x:tableColumn id="8" name="Explanation / Action"/>
  </x:tableColumns>
  <x:tableStyleInfo name="TableStyleMedium2" showFirstColumn="0" showLastColumn="0" showRowStripes="1" showColumnStripes="0"/>
</x:table>
</file>

<file path=xl/tables/table4.xml><?xml version="1.0" encoding="utf-8"?>
<x:table xmlns:x="http://schemas.openxmlformats.org/spreadsheetml/2006/main" id="4" name="ProposedEntriesTable" displayName="ProposedEntriesTable" ref="A4:H19" headerRowCount="1" totalsRowCount="0" totalsRowShown="0">
  <x:tableColumns count="8">
    <x:tableColumn id="1" name="Entry ID"/>
    <x:tableColumn id="2" name="Account Code"/>
    <x:tableColumn id="3" name="Description"/>
    <x:tableColumn id="4" name="Debit"/>
    <x:tableColumn id="5" name="Credit"/>
    <x:tableColumn id="6" name="Source Reference"/>
    <x:tableColumn id="7" name="Preparation Status"/>
    <x:tableColumn id="8" name="Review Note"/>
  </x:tableColumns>
  <x:tableStyleInfo name="TableStyleMedium2" showFirstColumn="0" showLastColumn="0" showRowStripes="1" showColumnStripes="0"/>
</x:table>
</file>

<file path=xl/tables/table5.xml><?xml version="1.0" encoding="utf-8"?>
<x:table xmlns:x="http://schemas.openxmlformats.org/spreadsheetml/2006/main" id="5" name="PriorPeriodTable" displayName="PriorPeriodTable" ref="A4:E24" headerRowCount="1" totalsRowCount="0" totalsRowShown="0">
  <x:tableColumns count="5">
    <x:tableColumn id="1" name="Account Code"/>
    <x:tableColumn id="2" name="Current Balance"/>
    <x:tableColumn id="3" name="Prior Balance"/>
    <x:tableColumn id="4" name="Change"/>
    <x:tableColumn id="5" name="Context Note"/>
  </x:tableColumns>
  <x:tableStyleInfo name="TableStyleMedium2" showFirstColumn="0" showLastColumn="0" showRowStripes="1" showColumnStripes="0"/>
</x:table>
</file>

<file path=xl/tables/table6.xml><?xml version="1.0" encoding="utf-8"?>
<x:table xmlns:x="http://schemas.openxmlformats.org/spreadsheetml/2006/main" id="6" name="ExceptionsTable" displayName="ExceptionsTable" ref="A4:H19" headerRowCount="1" totalsRowCount="0" totalsRowShown="0">
  <x:tableColumns count="8">
    <x:tableColumn id="1" name="Exception ID"/>
    <x:tableColumn id="2" name="Detected In"/>
    <x:tableColumn id="3" name="Question / Condition"/>
    <x:tableColumn id="4" name="Authority Class"/>
    <x:tableColumn id="5" name="Owner Role"/>
    <x:tableColumn id="6" name="Due Date"/>
    <x:tableColumn id="7" name="Status"/>
    <x:tableColumn id="8" name="Resolution Reference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b83bbb3fd1194eb8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81484fa93b0e4c8a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3.xml" Id="Re79f869f66194a62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4.xml" Id="R0dc8b4728cd442b2" /></Relationships>
</file>

<file path=xl/worksheets/_rels/sheet6.xml.rels>&#65279;<?xml version="1.0" encoding="utf-8"?><Relationships xmlns="http://schemas.openxmlformats.org/package/2006/relationships"><Relationship Type="http://schemas.openxmlformats.org/officeDocument/2006/relationships/table" Target="/xl/tables/table5.xml" Id="R939c1ad0b16f41cc" /></Relationships>
</file>

<file path=xl/worksheets/_rels/sheet7.xml.rels>&#65279;<?xml version="1.0" encoding="utf-8"?><Relationships xmlns="http://schemas.openxmlformats.org/package/2006/relationships"><Relationship Type="http://schemas.openxmlformats.org/officeDocument/2006/relationships/table" Target="/xl/tables/table6.xml" Id="R62cec95be2364aea" /></Relationships>
</file>

<file path=xl/worksheets/sheet1.xml><?xml version="1.0" encoding="utf-8"?>
<worksheet xmlns="http://schemas.openxmlformats.org/spreadsheetml/2006/main">
  <sheetPr>
    <pageSetUpPr fitToPage="1"/>
  </sheetPr>
  <sheetViews>
    <sheetView showGridLines="0" workbookViewId="0"/>
  </sheetViews>
  <sheetFormatPr defaultRowHeight="15"/>
  <cols>
    <col min="1" max="1" width="34" hidden="0" customWidth="1"/>
    <col min="2" max="2" width="24" hidden="0" customWidth="1"/>
    <col min="3" max="3" width="44" hidden="0" customWidth="1"/>
  </cols>
  <sheetData>
    <row r="1" ht="28" customHeight="1">
      <c r="A1" s="46" t="str">
        <v>Monthly Close &amp; Reconciliation</v>
      </c>
      <c r="B1" s="46"/>
      <c r="C1" s="46"/>
      <c r="D1" s="46"/>
      <c r="E1" s="46"/>
      <c r="F1" s="46"/>
      <c r="G1" s="46"/>
      <c r="H1" s="46"/>
    </row>
    <row r="2" ht="30" customHeight="1">
      <c r="A2" s="47" t="str">
        <v>Internal working file | supporting analysis | approval is evidenced separately</v>
      </c>
      <c r="B2" s="47"/>
      <c r="C2" s="47"/>
      <c r="D2" s="47"/>
      <c r="E2" s="47"/>
      <c r="F2" s="47"/>
      <c r="G2" s="47"/>
      <c r="H2" s="47"/>
    </row>
    <row r="3">
      <c r="A3" s="48"/>
      <c r="B3" s="48"/>
      <c r="C3" s="48"/>
      <c r="D3" s="48"/>
      <c r="E3" s="48"/>
      <c r="F3" s="48"/>
      <c r="G3" s="48"/>
      <c r="H3" s="48"/>
    </row>
    <row r="4">
      <c r="A4" s="49" t="str">
        <v>Close file field</v>
      </c>
      <c r="B4" s="49" t="str">
        <v>Value</v>
      </c>
      <c r="C4" s="48"/>
      <c r="D4" s="48"/>
      <c r="E4" s="48"/>
      <c r="F4" s="48"/>
      <c r="G4" s="48"/>
      <c r="H4" s="48"/>
    </row>
    <row r="5">
      <c r="A5" s="48" t="str">
        <v>Organization</v>
      </c>
      <c r="B5" s="50" t="str">
        <v>{{organization_name}}</v>
      </c>
      <c r="C5" s="48"/>
      <c r="D5" s="48"/>
      <c r="E5" s="48"/>
      <c r="F5" s="48"/>
      <c r="G5" s="48"/>
      <c r="H5" s="48"/>
    </row>
    <row r="6">
      <c r="A6" s="48" t="str">
        <v>Close period</v>
      </c>
      <c r="B6" s="50" t="str">
        <v>{{close_period_end}}</v>
      </c>
      <c r="C6" s="48"/>
      <c r="D6" s="48"/>
      <c r="E6" s="48"/>
      <c r="F6" s="48"/>
      <c r="G6" s="48"/>
      <c r="H6" s="48"/>
    </row>
    <row r="7">
      <c r="A7" s="48" t="str">
        <v>Prepared by role</v>
      </c>
      <c r="B7" s="50" t="str">
        <v>{{preparer_role}}</v>
      </c>
      <c r="C7" s="48"/>
      <c r="D7" s="48"/>
      <c r="E7" s="48"/>
      <c r="F7" s="48"/>
      <c r="G7" s="48"/>
      <c r="H7" s="48"/>
    </row>
    <row r="8">
      <c r="A8" s="48" t="str">
        <v>Reviewed by role</v>
      </c>
      <c r="B8" s="50" t="str">
        <v>{{reviewer_role}}</v>
      </c>
      <c r="C8" s="48"/>
      <c r="D8" s="48"/>
      <c r="E8" s="48"/>
      <c r="F8" s="48"/>
      <c r="G8" s="48"/>
      <c r="H8" s="48"/>
    </row>
    <row r="9">
      <c r="A9" s="48" t="str">
        <v>File status</v>
      </c>
      <c r="B9" s="48" t="str">
        <v>Working</v>
      </c>
      <c r="C9" s="48"/>
      <c r="D9" s="48"/>
      <c r="E9" s="48"/>
      <c r="F9" s="48"/>
      <c r="G9" s="48"/>
      <c r="H9" s="48"/>
    </row>
    <row r="10">
      <c r="A10" s="48"/>
      <c r="B10" s="48"/>
      <c r="C10" s="48"/>
      <c r="D10" s="48"/>
      <c r="E10" s="48"/>
      <c r="F10" s="48"/>
      <c r="G10" s="48"/>
      <c r="H10" s="48"/>
    </row>
    <row r="11">
      <c r="A11" s="49" t="str">
        <v>Close control</v>
      </c>
      <c r="B11" s="49" t="str">
        <v>Status</v>
      </c>
      <c r="C11" s="49" t="str">
        <v>Evidence reference</v>
      </c>
      <c r="D11" s="48"/>
      <c r="E11" s="48"/>
      <c r="F11" s="48"/>
      <c r="G11" s="48"/>
      <c r="H11" s="48"/>
    </row>
    <row r="12">
      <c r="A12" s="48" t="str">
        <v>Source population loaded</v>
      </c>
      <c r="B12" s="50" t="str">
        <v>Not started</v>
      </c>
      <c r="C12" s="50"/>
      <c r="D12" s="48"/>
      <c r="E12" s="48"/>
      <c r="F12" s="48"/>
      <c r="G12" s="48"/>
      <c r="H12" s="48"/>
    </row>
    <row r="13">
      <c r="A13" s="48" t="str">
        <v>Account mapping reviewed</v>
      </c>
      <c r="B13" s="50" t="str">
        <v>Not started</v>
      </c>
      <c r="C13" s="50"/>
      <c r="D13" s="48"/>
      <c r="E13" s="48"/>
      <c r="F13" s="48"/>
      <c r="G13" s="48"/>
      <c r="H13" s="48"/>
    </row>
    <row r="14">
      <c r="A14" s="48" t="str">
        <v>Reconciliation exceptions dispositioned</v>
      </c>
      <c r="B14" s="50" t="str">
        <v>Not started</v>
      </c>
      <c r="C14" s="50"/>
      <c r="D14" s="48"/>
      <c r="E14" s="48"/>
      <c r="F14" s="48"/>
      <c r="G14" s="48"/>
      <c r="H14" s="48"/>
    </row>
    <row r="15">
      <c r="A15" s="48" t="str">
        <v>Proposed entries balanced</v>
      </c>
      <c r="B15" s="50" t="str">
        <v>Not started</v>
      </c>
      <c r="C15" s="50"/>
      <c r="D15" s="48"/>
      <c r="E15" s="48"/>
      <c r="F15" s="48"/>
      <c r="G15" s="48"/>
      <c r="H15" s="48"/>
    </row>
    <row r="16">
      <c r="A16" s="48" t="str">
        <v>Controller review completed</v>
      </c>
      <c r="B16" s="50" t="str">
        <v>Not started</v>
      </c>
      <c r="C16" s="50"/>
      <c r="D16" s="48"/>
      <c r="E16" s="48"/>
      <c r="F16" s="48"/>
      <c r="G16" s="48"/>
      <c r="H16" s="48"/>
    </row>
  </sheetData>
  <mergeCells>
    <mergeCell ref="A1:H1"/>
    <mergeCell ref="A2:H2"/>
  </mergeCells>
  <dataValidations count="1">
    <dataValidation type="list" sqref="B12:B16">
      <formula1>"Not started,In progress,Complete,Not applicable"</formula1>
    </dataValidation>
  </dataValidations>
  <printOptions horizontalCentered="1"/>
  <pageMargins left="0.25" right="0.25" top="0.5" bottom="0.5" header="0.2" footer="0.2"/>
  <pageSetup paperSize="1" orientation="landscape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>
  <sheetPr>
    <pageSetUpPr fitToPage="1"/>
  </sheetPr>
  <sheetViews>
    <sheetView showGridLines="0" workbookViewId="0">
      <pane ySplit="4" topLeftCell="A5" activePane="bottomLeft" state="frozen"/>
    </sheetView>
  </sheetViews>
  <sheetFormatPr defaultRowHeight="15"/>
  <cols>
    <col min="1" max="1" width="18" hidden="0" customWidth="1"/>
    <col min="2" max="2" width="18" hidden="0" customWidth="1"/>
    <col min="3" max="3" width="18" hidden="0" customWidth="1"/>
    <col min="4" max="4" width="18" hidden="0" customWidth="1"/>
    <col min="5" max="5" width="34" hidden="0" customWidth="1"/>
    <col min="6" max="6" width="18" hidden="0" customWidth="1"/>
    <col min="7" max="7" width="18" hidden="0" customWidth="1"/>
    <col min="8" max="8" width="18" hidden="0" customWidth="1"/>
  </cols>
  <sheetData>
    <row r="1" ht="28" customHeight="1">
      <c r="A1" s="46" t="str">
        <v>Source Data</v>
      </c>
      <c r="B1" s="46"/>
      <c r="C1" s="46"/>
      <c r="D1" s="46"/>
      <c r="E1" s="46"/>
      <c r="F1" s="46"/>
      <c r="G1" s="46"/>
      <c r="H1" s="46"/>
    </row>
    <row r="2" ht="30" customHeight="1">
      <c r="A2" s="47" t="str">
        <v>Paste or generate authorized transaction-level rows. Do not place conclusions in this source-system layer.</v>
      </c>
      <c r="B2" s="47"/>
      <c r="C2" s="47"/>
      <c r="D2" s="47"/>
      <c r="E2" s="47"/>
      <c r="F2" s="47"/>
      <c r="G2" s="47"/>
      <c r="H2" s="47"/>
    </row>
    <row r="3">
      <c r="A3" s="48"/>
      <c r="B3" s="48"/>
      <c r="C3" s="48"/>
      <c r="D3" s="48"/>
      <c r="E3" s="48"/>
      <c r="F3" s="48"/>
      <c r="G3" s="48"/>
      <c r="H3" s="48"/>
    </row>
    <row r="4">
      <c r="A4" s="51" t="str">
        <v>Source Row ID</v>
      </c>
      <c r="B4" s="51" t="str">
        <v>Entity Code</v>
      </c>
      <c r="C4" s="51" t="str">
        <v>Account Code</v>
      </c>
      <c r="D4" s="51" t="str">
        <v>Transaction Date</v>
      </c>
      <c r="E4" s="51" t="str">
        <v>Description</v>
      </c>
      <c r="F4" s="51" t="str">
        <v>Debit</v>
      </c>
      <c r="G4" s="51" t="str">
        <v>Credit</v>
      </c>
      <c r="H4" s="51" t="str">
        <v>Status Code</v>
      </c>
    </row>
    <row r="5">
      <c r="A5" s="52"/>
      <c r="B5" s="53"/>
      <c r="C5" s="53"/>
      <c r="D5" s="54"/>
      <c r="E5" s="53"/>
      <c r="F5" s="55"/>
      <c r="G5" s="55"/>
      <c r="H5" s="56"/>
    </row>
    <row r="6">
      <c r="A6" s="57"/>
      <c r="B6" s="58"/>
      <c r="C6" s="58"/>
      <c r="D6" s="59"/>
      <c r="E6" s="58"/>
      <c r="F6" s="60"/>
      <c r="G6" s="60"/>
      <c r="H6" s="61"/>
    </row>
    <row r="7">
      <c r="A7" s="57"/>
      <c r="B7" s="58"/>
      <c r="C7" s="58"/>
      <c r="D7" s="59"/>
      <c r="E7" s="58"/>
      <c r="F7" s="60"/>
      <c r="G7" s="60"/>
      <c r="H7" s="61"/>
    </row>
    <row r="8">
      <c r="A8" s="57"/>
      <c r="B8" s="58"/>
      <c r="C8" s="58"/>
      <c r="D8" s="59"/>
      <c r="E8" s="58"/>
      <c r="F8" s="60"/>
      <c r="G8" s="60"/>
      <c r="H8" s="61"/>
    </row>
    <row r="9">
      <c r="A9" s="57"/>
      <c r="B9" s="58"/>
      <c r="C9" s="58"/>
      <c r="D9" s="59"/>
      <c r="E9" s="58"/>
      <c r="F9" s="60"/>
      <c r="G9" s="60"/>
      <c r="H9" s="61"/>
    </row>
    <row r="10">
      <c r="A10" s="57"/>
      <c r="B10" s="58"/>
      <c r="C10" s="58"/>
      <c r="D10" s="59"/>
      <c r="E10" s="58"/>
      <c r="F10" s="60"/>
      <c r="G10" s="60"/>
      <c r="H10" s="61"/>
    </row>
    <row r="11">
      <c r="A11" s="57"/>
      <c r="B11" s="58"/>
      <c r="C11" s="58"/>
      <c r="D11" s="59"/>
      <c r="E11" s="58"/>
      <c r="F11" s="60"/>
      <c r="G11" s="60"/>
      <c r="H11" s="61"/>
    </row>
    <row r="12">
      <c r="A12" s="57"/>
      <c r="B12" s="58"/>
      <c r="C12" s="58"/>
      <c r="D12" s="59"/>
      <c r="E12" s="58"/>
      <c r="F12" s="60"/>
      <c r="G12" s="60"/>
      <c r="H12" s="61"/>
    </row>
    <row r="13">
      <c r="A13" s="57"/>
      <c r="B13" s="58"/>
      <c r="C13" s="58"/>
      <c r="D13" s="59"/>
      <c r="E13" s="58"/>
      <c r="F13" s="60"/>
      <c r="G13" s="60"/>
      <c r="H13" s="61"/>
    </row>
    <row r="14">
      <c r="A14" s="57"/>
      <c r="B14" s="58"/>
      <c r="C14" s="58"/>
      <c r="D14" s="59"/>
      <c r="E14" s="58"/>
      <c r="F14" s="60"/>
      <c r="G14" s="60"/>
      <c r="H14" s="61"/>
    </row>
    <row r="15">
      <c r="A15" s="57"/>
      <c r="B15" s="58"/>
      <c r="C15" s="58"/>
      <c r="D15" s="59"/>
      <c r="E15" s="58"/>
      <c r="F15" s="60"/>
      <c r="G15" s="60"/>
      <c r="H15" s="61"/>
    </row>
    <row r="16">
      <c r="A16" s="57"/>
      <c r="B16" s="58"/>
      <c r="C16" s="58"/>
      <c r="D16" s="59"/>
      <c r="E16" s="58"/>
      <c r="F16" s="60"/>
      <c r="G16" s="60"/>
      <c r="H16" s="61"/>
    </row>
    <row r="17">
      <c r="A17" s="57"/>
      <c r="B17" s="58"/>
      <c r="C17" s="58"/>
      <c r="D17" s="59"/>
      <c r="E17" s="58"/>
      <c r="F17" s="60"/>
      <c r="G17" s="60"/>
      <c r="H17" s="61"/>
    </row>
    <row r="18">
      <c r="A18" s="57"/>
      <c r="B18" s="58"/>
      <c r="C18" s="58"/>
      <c r="D18" s="59"/>
      <c r="E18" s="58"/>
      <c r="F18" s="60"/>
      <c r="G18" s="60"/>
      <c r="H18" s="61"/>
    </row>
    <row r="19">
      <c r="A19" s="57"/>
      <c r="B19" s="58"/>
      <c r="C19" s="58"/>
      <c r="D19" s="59"/>
      <c r="E19" s="58"/>
      <c r="F19" s="60"/>
      <c r="G19" s="60"/>
      <c r="H19" s="61"/>
    </row>
    <row r="20">
      <c r="A20" s="57"/>
      <c r="B20" s="58"/>
      <c r="C20" s="58"/>
      <c r="D20" s="59"/>
      <c r="E20" s="58"/>
      <c r="F20" s="60"/>
      <c r="G20" s="60"/>
      <c r="H20" s="61"/>
    </row>
    <row r="21">
      <c r="A21" s="57"/>
      <c r="B21" s="58"/>
      <c r="C21" s="58"/>
      <c r="D21" s="59"/>
      <c r="E21" s="58"/>
      <c r="F21" s="60"/>
      <c r="G21" s="60"/>
      <c r="H21" s="61"/>
    </row>
    <row r="22">
      <c r="A22" s="57"/>
      <c r="B22" s="58"/>
      <c r="C22" s="58"/>
      <c r="D22" s="59"/>
      <c r="E22" s="58"/>
      <c r="F22" s="60"/>
      <c r="G22" s="60"/>
      <c r="H22" s="61"/>
    </row>
    <row r="23">
      <c r="A23" s="57"/>
      <c r="B23" s="58"/>
      <c r="C23" s="58"/>
      <c r="D23" s="59"/>
      <c r="E23" s="58"/>
      <c r="F23" s="60"/>
      <c r="G23" s="60"/>
      <c r="H23" s="61"/>
    </row>
    <row r="24">
      <c r="A24" s="57"/>
      <c r="B24" s="58"/>
      <c r="C24" s="58"/>
      <c r="D24" s="59"/>
      <c r="E24" s="58"/>
      <c r="F24" s="60"/>
      <c r="G24" s="60"/>
      <c r="H24" s="61"/>
    </row>
    <row r="25">
      <c r="A25" s="57"/>
      <c r="B25" s="58"/>
      <c r="C25" s="58"/>
      <c r="D25" s="59"/>
      <c r="E25" s="58"/>
      <c r="F25" s="60"/>
      <c r="G25" s="60"/>
      <c r="H25" s="61"/>
    </row>
    <row r="26">
      <c r="A26" s="57"/>
      <c r="B26" s="58"/>
      <c r="C26" s="58"/>
      <c r="D26" s="59"/>
      <c r="E26" s="58"/>
      <c r="F26" s="60"/>
      <c r="G26" s="60"/>
      <c r="H26" s="61"/>
    </row>
    <row r="27">
      <c r="A27" s="57"/>
      <c r="B27" s="58"/>
      <c r="C27" s="58"/>
      <c r="D27" s="59"/>
      <c r="E27" s="58"/>
      <c r="F27" s="60"/>
      <c r="G27" s="60"/>
      <c r="H27" s="61"/>
    </row>
    <row r="28">
      <c r="A28" s="57"/>
      <c r="B28" s="58"/>
      <c r="C28" s="58"/>
      <c r="D28" s="59"/>
      <c r="E28" s="58"/>
      <c r="F28" s="60"/>
      <c r="G28" s="60"/>
      <c r="H28" s="61"/>
    </row>
    <row r="29">
      <c r="A29" s="62"/>
      <c r="B29" s="63"/>
      <c r="C29" s="63"/>
      <c r="D29" s="64"/>
      <c r="E29" s="63"/>
      <c r="F29" s="65"/>
      <c r="G29" s="65"/>
      <c r="H29" s="66"/>
    </row>
  </sheetData>
  <mergeCells>
    <mergeCell ref="A1:H1"/>
    <mergeCell ref="A2:H2"/>
  </mergeCells>
  <printOptions horizontalCentered="1"/>
  <pageMargins left="0.25" right="0.25" top="0.5" bottom="0.5" header="0.2" footer="0.2"/>
  <pageSetup paperSize="1" orientation="landscape" fitToWidth="1" fitToHeight="1"/>
  <tableParts count="1">
    <tablePart r:id="Rb83bbb3fd1194eb8"/>
  </tableParts>
</worksheet>
</file>

<file path=xl/worksheets/sheet3.xml><?xml version="1.0" encoding="utf-8"?>
<worksheet xmlns="http://schemas.openxmlformats.org/spreadsheetml/2006/main" xmlns:r="http://schemas.openxmlformats.org/officeDocument/2006/relationships">
  <sheetPr>
    <pageSetUpPr fitToPage="1"/>
  </sheetPr>
  <sheetViews>
    <sheetView showGridLines="0" workbookViewId="0">
      <pane ySplit="4" topLeftCell="A5" activePane="bottomLeft" state="frozen"/>
    </sheetView>
  </sheetViews>
  <sheetFormatPr defaultRowHeight="15"/>
  <cols>
    <col min="1" max="1" width="24" hidden="0" customWidth="1"/>
    <col min="2" max="2" width="24" hidden="0" customWidth="1"/>
    <col min="3" max="3" width="24" hidden="0" customWidth="1"/>
    <col min="4" max="4" width="24" hidden="0" customWidth="1"/>
    <col min="5" max="5" width="24" hidden="0" customWidth="1"/>
  </cols>
  <sheetData>
    <row r="1" ht="28" customHeight="1">
      <c r="A1" s="46" t="str">
        <v>Account Mapping</v>
      </c>
      <c r="B1" s="46"/>
      <c r="C1" s="46"/>
      <c r="D1" s="46"/>
      <c r="E1" s="46"/>
      <c r="F1" s="46"/>
      <c r="G1" s="46"/>
      <c r="H1" s="46"/>
    </row>
    <row r="2" ht="30" customHeight="1">
      <c r="A2" s="47" t="str">
        <v>Map source codes to the reporting structure. Mapping fields are inputs, not inferred authority.</v>
      </c>
      <c r="B2" s="47"/>
      <c r="C2" s="47"/>
      <c r="D2" s="47"/>
      <c r="E2" s="47"/>
      <c r="F2" s="47"/>
      <c r="G2" s="47"/>
      <c r="H2" s="47"/>
    </row>
    <row r="3">
      <c r="A3" s="48"/>
      <c r="B3" s="48"/>
      <c r="C3" s="48"/>
      <c r="D3" s="48"/>
      <c r="E3" s="48"/>
      <c r="F3" s="48"/>
      <c r="G3" s="48"/>
      <c r="H3" s="48"/>
    </row>
    <row r="4">
      <c r="A4" s="49" t="str">
        <v>Account Code</v>
      </c>
      <c r="B4" s="49" t="str">
        <v>Account Name</v>
      </c>
      <c r="C4" s="49" t="str">
        <v>Statement Group</v>
      </c>
      <c r="D4" s="49" t="str">
        <v>Reconciliation Owner Role</v>
      </c>
      <c r="E4" s="49" t="str">
        <v>Active?</v>
      </c>
      <c r="F4" s="48"/>
      <c r="G4" s="48"/>
      <c r="H4" s="48"/>
    </row>
    <row r="5">
      <c r="A5" s="50"/>
      <c r="B5" s="50"/>
      <c r="C5" s="50"/>
      <c r="D5" s="50"/>
      <c r="E5" s="50"/>
      <c r="F5" s="48"/>
      <c r="G5" s="48"/>
      <c r="H5" s="48"/>
    </row>
    <row r="6">
      <c r="A6" s="50"/>
      <c r="B6" s="50"/>
      <c r="C6" s="50"/>
      <c r="D6" s="50"/>
      <c r="E6" s="50"/>
      <c r="F6" s="48"/>
      <c r="G6" s="48"/>
      <c r="H6" s="48"/>
    </row>
    <row r="7">
      <c r="A7" s="50"/>
      <c r="B7" s="50"/>
      <c r="C7" s="50"/>
      <c r="D7" s="50"/>
      <c r="E7" s="50"/>
      <c r="F7" s="48"/>
      <c r="G7" s="48"/>
      <c r="H7" s="48"/>
    </row>
    <row r="8">
      <c r="A8" s="50"/>
      <c r="B8" s="50"/>
      <c r="C8" s="50"/>
      <c r="D8" s="50"/>
      <c r="E8" s="50"/>
      <c r="F8" s="48"/>
      <c r="G8" s="48"/>
      <c r="H8" s="48"/>
    </row>
    <row r="9">
      <c r="A9" s="50"/>
      <c r="B9" s="50"/>
      <c r="C9" s="50"/>
      <c r="D9" s="50"/>
      <c r="E9" s="50"/>
      <c r="F9" s="48"/>
      <c r="G9" s="48"/>
      <c r="H9" s="48"/>
    </row>
    <row r="10">
      <c r="A10" s="50"/>
      <c r="B10" s="50"/>
      <c r="C10" s="50"/>
      <c r="D10" s="50"/>
      <c r="E10" s="50"/>
      <c r="F10" s="48"/>
      <c r="G10" s="48"/>
      <c r="H10" s="48"/>
    </row>
    <row r="11">
      <c r="A11" s="50"/>
      <c r="B11" s="50"/>
      <c r="C11" s="50"/>
      <c r="D11" s="50"/>
      <c r="E11" s="50"/>
      <c r="F11" s="48"/>
      <c r="G11" s="48"/>
      <c r="H11" s="48"/>
    </row>
    <row r="12">
      <c r="A12" s="50"/>
      <c r="B12" s="50"/>
      <c r="C12" s="50"/>
      <c r="D12" s="50"/>
      <c r="E12" s="50"/>
      <c r="F12" s="48"/>
      <c r="G12" s="48"/>
      <c r="H12" s="48"/>
    </row>
    <row r="13">
      <c r="A13" s="50"/>
      <c r="B13" s="50"/>
      <c r="C13" s="50"/>
      <c r="D13" s="50"/>
      <c r="E13" s="50"/>
      <c r="F13" s="48"/>
      <c r="G13" s="48"/>
      <c r="H13" s="48"/>
    </row>
    <row r="14">
      <c r="A14" s="50"/>
      <c r="B14" s="50"/>
      <c r="C14" s="50"/>
      <c r="D14" s="50"/>
      <c r="E14" s="50"/>
      <c r="F14" s="48"/>
      <c r="G14" s="48"/>
      <c r="H14" s="48"/>
    </row>
    <row r="15">
      <c r="A15" s="50"/>
      <c r="B15" s="50"/>
      <c r="C15" s="50"/>
      <c r="D15" s="50"/>
      <c r="E15" s="50"/>
      <c r="F15" s="48"/>
      <c r="G15" s="48"/>
      <c r="H15" s="48"/>
    </row>
    <row r="16">
      <c r="A16" s="50"/>
      <c r="B16" s="50"/>
      <c r="C16" s="50"/>
      <c r="D16" s="50"/>
      <c r="E16" s="50"/>
      <c r="F16" s="48"/>
      <c r="G16" s="48"/>
      <c r="H16" s="48"/>
    </row>
    <row r="17">
      <c r="A17" s="50"/>
      <c r="B17" s="50"/>
      <c r="C17" s="50"/>
      <c r="D17" s="50"/>
      <c r="E17" s="50"/>
      <c r="F17" s="48"/>
      <c r="G17" s="48"/>
      <c r="H17" s="48"/>
    </row>
    <row r="18">
      <c r="A18" s="50"/>
      <c r="B18" s="50"/>
      <c r="C18" s="50"/>
      <c r="D18" s="50"/>
      <c r="E18" s="50"/>
      <c r="F18" s="48"/>
      <c r="G18" s="48"/>
      <c r="H18" s="48"/>
    </row>
    <row r="19">
      <c r="A19" s="50"/>
      <c r="B19" s="50"/>
      <c r="C19" s="50"/>
      <c r="D19" s="50"/>
      <c r="E19" s="50"/>
      <c r="F19" s="48"/>
      <c r="G19" s="48"/>
      <c r="H19" s="48"/>
    </row>
    <row r="20">
      <c r="A20" s="50"/>
      <c r="B20" s="50"/>
      <c r="C20" s="50"/>
      <c r="D20" s="50"/>
      <c r="E20" s="50"/>
      <c r="F20" s="48"/>
      <c r="G20" s="48"/>
      <c r="H20" s="48"/>
    </row>
    <row r="21">
      <c r="A21" s="50"/>
      <c r="B21" s="50"/>
      <c r="C21" s="50"/>
      <c r="D21" s="50"/>
      <c r="E21" s="50"/>
      <c r="F21" s="48"/>
      <c r="G21" s="48"/>
      <c r="H21" s="48"/>
    </row>
    <row r="22">
      <c r="A22" s="50"/>
      <c r="B22" s="50"/>
      <c r="C22" s="50"/>
      <c r="D22" s="50"/>
      <c r="E22" s="50"/>
      <c r="F22" s="48"/>
      <c r="G22" s="48"/>
      <c r="H22" s="48"/>
    </row>
    <row r="23">
      <c r="A23" s="50"/>
      <c r="B23" s="50"/>
      <c r="C23" s="50"/>
      <c r="D23" s="50"/>
      <c r="E23" s="50"/>
      <c r="F23" s="48"/>
      <c r="G23" s="48"/>
      <c r="H23" s="48"/>
    </row>
    <row r="24">
      <c r="A24" s="50"/>
      <c r="B24" s="50"/>
      <c r="C24" s="50"/>
      <c r="D24" s="50"/>
      <c r="E24" s="50"/>
      <c r="F24" s="48"/>
      <c r="G24" s="48"/>
      <c r="H24" s="48"/>
    </row>
    <row r="25">
      <c r="A25" s="50"/>
      <c r="B25" s="50"/>
      <c r="C25" s="50"/>
      <c r="D25" s="50"/>
      <c r="E25" s="50"/>
      <c r="F25" s="48"/>
      <c r="G25" s="48"/>
      <c r="H25" s="48"/>
    </row>
    <row r="26">
      <c r="A26" s="50"/>
      <c r="B26" s="50"/>
      <c r="C26" s="50"/>
      <c r="D26" s="50"/>
      <c r="E26" s="50"/>
      <c r="F26" s="48"/>
      <c r="G26" s="48"/>
      <c r="H26" s="48"/>
    </row>
    <row r="27">
      <c r="A27" s="50"/>
      <c r="B27" s="50"/>
      <c r="C27" s="50"/>
      <c r="D27" s="50"/>
      <c r="E27" s="50"/>
      <c r="F27" s="48"/>
      <c r="G27" s="48"/>
      <c r="H27" s="48"/>
    </row>
    <row r="28">
      <c r="A28" s="50"/>
      <c r="B28" s="50"/>
      <c r="C28" s="50"/>
      <c r="D28" s="50"/>
      <c r="E28" s="50"/>
      <c r="F28" s="48"/>
      <c r="G28" s="48"/>
      <c r="H28" s="48"/>
    </row>
    <row r="29">
      <c r="A29" s="50"/>
      <c r="B29" s="50"/>
      <c r="C29" s="50"/>
      <c r="D29" s="50"/>
      <c r="E29" s="50"/>
      <c r="F29" s="48"/>
      <c r="G29" s="48"/>
      <c r="H29" s="48"/>
    </row>
  </sheetData>
  <mergeCells>
    <mergeCell ref="A1:H1"/>
    <mergeCell ref="A2:H2"/>
  </mergeCells>
  <dataValidations count="1">
    <dataValidation type="list" sqref="E5:E29">
      <formula1>"Yes,No"</formula1>
    </dataValidation>
  </dataValidations>
  <printOptions horizontalCentered="1"/>
  <pageMargins left="0.25" right="0.25" top="0.5" bottom="0.5" header="0.2" footer="0.2"/>
  <pageSetup paperSize="1" orientation="portrait" fitToWidth="1" fitToHeight="1"/>
  <tableParts count="1">
    <tablePart r:id="R81484fa93b0e4c8a"/>
  </tableParts>
</worksheet>
</file>

<file path=xl/worksheets/sheet4.xml><?xml version="1.0" encoding="utf-8"?>
<worksheet xmlns="http://schemas.openxmlformats.org/spreadsheetml/2006/main" xmlns:r="http://schemas.openxmlformats.org/officeDocument/2006/relationships">
  <sheetPr>
    <pageSetUpPr fitToPage="1"/>
  </sheetPr>
  <sheetViews>
    <sheetView showGridLines="0" workbookViewId="0">
      <pane ySplit="4" topLeftCell="A5" activePane="bottomLeft" state="frozen"/>
    </sheetView>
  </sheetViews>
  <sheetFormatPr defaultRowHeight="15"/>
  <cols>
    <col min="1" max="1" width="18" hidden="0" customWidth="1"/>
    <col min="2" max="2" width="18" hidden="0" customWidth="1"/>
    <col min="3" max="3" width="18" hidden="0" customWidth="1"/>
    <col min="4" max="4" width="18" hidden="0" customWidth="1"/>
    <col min="5" max="5" width="18" hidden="0" customWidth="1"/>
    <col min="6" max="6" width="18" hidden="0" customWidth="1"/>
    <col min="7" max="7" width="18" hidden="0" customWidth="1"/>
    <col min="8" max="8" width="38" hidden="0" customWidth="1"/>
  </cols>
  <sheetData>
    <row r="1" ht="28" customHeight="1">
      <c r="A1" s="46" t="str">
        <v>Reconciliation</v>
      </c>
      <c r="B1" s="46"/>
      <c r="C1" s="46"/>
      <c r="D1" s="46"/>
      <c r="E1" s="46"/>
      <c r="F1" s="46"/>
      <c r="G1" s="46"/>
      <c r="H1" s="46"/>
    </row>
    <row r="2" ht="30" customHeight="1">
      <c r="A2" s="47" t="str">
        <v>Formula-driven comparison of source activity and ledger balance by mapped account.</v>
      </c>
      <c r="B2" s="47"/>
      <c r="C2" s="47"/>
      <c r="D2" s="47"/>
      <c r="E2" s="47"/>
      <c r="F2" s="47"/>
      <c r="G2" s="47"/>
      <c r="H2" s="47"/>
    </row>
    <row r="3">
      <c r="A3" s="48"/>
      <c r="B3" s="48"/>
      <c r="C3" s="48"/>
      <c r="D3" s="48"/>
      <c r="E3" s="48"/>
      <c r="F3" s="48"/>
      <c r="G3" s="48"/>
      <c r="H3" s="48"/>
    </row>
    <row r="4">
      <c r="A4" s="49" t="str">
        <v>Account Code</v>
      </c>
      <c r="B4" s="49" t="str">
        <v>Account Name</v>
      </c>
      <c r="C4" s="49" t="str">
        <v>Source Net</v>
      </c>
      <c r="D4" s="49" t="str">
        <v>Ledger Balance</v>
      </c>
      <c r="E4" s="49" t="str">
        <v>Difference</v>
      </c>
      <c r="F4" s="49" t="str">
        <v>Threshold</v>
      </c>
      <c r="G4" s="49" t="str">
        <v>Status</v>
      </c>
      <c r="H4" s="49" t="str">
        <v>Explanation / Action</v>
      </c>
    </row>
    <row r="5">
      <c r="A5" s="50"/>
      <c r="B5" s="50"/>
      <c r="C5" s="67" t="str">
        <f>IF(A5="","",SUMIFS('Source_Data'!$F$5:$F$29,'Source_Data'!$C$5:$C$29,A5)-SUMIFS('Source_Data'!$G$5:$G$29,'Source_Data'!$C$5:$C$29,A5))</f>
      </c>
      <c r="D5" s="68"/>
      <c r="E5" s="67" t="str">
        <f>IF(A5="","",C5-D5)</f>
      </c>
      <c r="F5" s="68"/>
      <c r="G5" s="48" t="str">
        <f>IF(A5="","",IF(OR(D5="",F5=""),"NOT READY",IF(ABS(E5)&lt;=F5,"PASS","REVIEW")))</f>
      </c>
      <c r="H5" s="50"/>
    </row>
    <row r="6">
      <c r="A6" s="50"/>
      <c r="B6" s="50"/>
      <c r="C6" s="67" t="str">
        <f>IF(A6="","",SUMIFS('Source_Data'!$F$5:$F$29,'Source_Data'!$C$5:$C$29,A6)-SUMIFS('Source_Data'!$G$5:$G$29,'Source_Data'!$C$5:$C$29,A6))</f>
      </c>
      <c r="D6" s="68"/>
      <c r="E6" s="67" t="str">
        <f>IF(A6="","",C6-D6)</f>
      </c>
      <c r="F6" s="68"/>
      <c r="G6" s="48" t="str">
        <f>IF(A6="","",IF(OR(D6="",F6=""),"NOT READY",IF(ABS(E6)&lt;=F6,"PASS","REVIEW")))</f>
      </c>
      <c r="H6" s="50"/>
    </row>
    <row r="7">
      <c r="A7" s="50"/>
      <c r="B7" s="50"/>
      <c r="C7" s="67" t="str">
        <f>IF(A7="","",SUMIFS('Source_Data'!$F$5:$F$29,'Source_Data'!$C$5:$C$29,A7)-SUMIFS('Source_Data'!$G$5:$G$29,'Source_Data'!$C$5:$C$29,A7))</f>
      </c>
      <c r="D7" s="68"/>
      <c r="E7" s="67" t="str">
        <f>IF(A7="","",C7-D7)</f>
      </c>
      <c r="F7" s="68"/>
      <c r="G7" s="48" t="str">
        <f>IF(A7="","",IF(OR(D7="",F7=""),"NOT READY",IF(ABS(E7)&lt;=F7,"PASS","REVIEW")))</f>
      </c>
      <c r="H7" s="50"/>
    </row>
    <row r="8">
      <c r="A8" s="50"/>
      <c r="B8" s="50"/>
      <c r="C8" s="67" t="str">
        <f>IF(A8="","",SUMIFS('Source_Data'!$F$5:$F$29,'Source_Data'!$C$5:$C$29,A8)-SUMIFS('Source_Data'!$G$5:$G$29,'Source_Data'!$C$5:$C$29,A8))</f>
      </c>
      <c r="D8" s="68"/>
      <c r="E8" s="67" t="str">
        <f>IF(A8="","",C8-D8)</f>
      </c>
      <c r="F8" s="68"/>
      <c r="G8" s="48" t="str">
        <f>IF(A8="","",IF(OR(D8="",F8=""),"NOT READY",IF(ABS(E8)&lt;=F8,"PASS","REVIEW")))</f>
      </c>
      <c r="H8" s="50"/>
    </row>
    <row r="9">
      <c r="A9" s="50"/>
      <c r="B9" s="50"/>
      <c r="C9" s="67" t="str">
        <f>IF(A9="","",SUMIFS('Source_Data'!$F$5:$F$29,'Source_Data'!$C$5:$C$29,A9)-SUMIFS('Source_Data'!$G$5:$G$29,'Source_Data'!$C$5:$C$29,A9))</f>
      </c>
      <c r="D9" s="68"/>
      <c r="E9" s="67" t="str">
        <f>IF(A9="","",C9-D9)</f>
      </c>
      <c r="F9" s="68"/>
      <c r="G9" s="48" t="str">
        <f>IF(A9="","",IF(OR(D9="",F9=""),"NOT READY",IF(ABS(E9)&lt;=F9,"PASS","REVIEW")))</f>
      </c>
      <c r="H9" s="50"/>
    </row>
    <row r="10">
      <c r="A10" s="50"/>
      <c r="B10" s="50"/>
      <c r="C10" s="67" t="str">
        <f>IF(A10="","",SUMIFS('Source_Data'!$F$5:$F$29,'Source_Data'!$C$5:$C$29,A10)-SUMIFS('Source_Data'!$G$5:$G$29,'Source_Data'!$C$5:$C$29,A10))</f>
      </c>
      <c r="D10" s="68"/>
      <c r="E10" s="67" t="str">
        <f>IF(A10="","",C10-D10)</f>
      </c>
      <c r="F10" s="68"/>
      <c r="G10" s="48" t="str">
        <f>IF(A10="","",IF(OR(D10="",F10=""),"NOT READY",IF(ABS(E10)&lt;=F10,"PASS","REVIEW")))</f>
      </c>
      <c r="H10" s="50"/>
    </row>
    <row r="11">
      <c r="A11" s="50"/>
      <c r="B11" s="50"/>
      <c r="C11" s="67" t="str">
        <f>IF(A11="","",SUMIFS('Source_Data'!$F$5:$F$29,'Source_Data'!$C$5:$C$29,A11)-SUMIFS('Source_Data'!$G$5:$G$29,'Source_Data'!$C$5:$C$29,A11))</f>
      </c>
      <c r="D11" s="68"/>
      <c r="E11" s="67" t="str">
        <f>IF(A11="","",C11-D11)</f>
      </c>
      <c r="F11" s="68"/>
      <c r="G11" s="48" t="str">
        <f>IF(A11="","",IF(OR(D11="",F11=""),"NOT READY",IF(ABS(E11)&lt;=F11,"PASS","REVIEW")))</f>
      </c>
      <c r="H11" s="50"/>
    </row>
    <row r="12">
      <c r="A12" s="50"/>
      <c r="B12" s="50"/>
      <c r="C12" s="67" t="str">
        <f>IF(A12="","",SUMIFS('Source_Data'!$F$5:$F$29,'Source_Data'!$C$5:$C$29,A12)-SUMIFS('Source_Data'!$G$5:$G$29,'Source_Data'!$C$5:$C$29,A12))</f>
      </c>
      <c r="D12" s="68"/>
      <c r="E12" s="67" t="str">
        <f>IF(A12="","",C12-D12)</f>
      </c>
      <c r="F12" s="68"/>
      <c r="G12" s="48" t="str">
        <f>IF(A12="","",IF(OR(D12="",F12=""),"NOT READY",IF(ABS(E12)&lt;=F12,"PASS","REVIEW")))</f>
      </c>
      <c r="H12" s="50"/>
    </row>
    <row r="13">
      <c r="A13" s="50"/>
      <c r="B13" s="50"/>
      <c r="C13" s="67" t="str">
        <f>IF(A13="","",SUMIFS('Source_Data'!$F$5:$F$29,'Source_Data'!$C$5:$C$29,A13)-SUMIFS('Source_Data'!$G$5:$G$29,'Source_Data'!$C$5:$C$29,A13))</f>
      </c>
      <c r="D13" s="68"/>
      <c r="E13" s="67" t="str">
        <f>IF(A13="","",C13-D13)</f>
      </c>
      <c r="F13" s="68"/>
      <c r="G13" s="48" t="str">
        <f>IF(A13="","",IF(OR(D13="",F13=""),"NOT READY",IF(ABS(E13)&lt;=F13,"PASS","REVIEW")))</f>
      </c>
      <c r="H13" s="50"/>
    </row>
    <row r="14">
      <c r="A14" s="50"/>
      <c r="B14" s="50"/>
      <c r="C14" s="67" t="str">
        <f>IF(A14="","",SUMIFS('Source_Data'!$F$5:$F$29,'Source_Data'!$C$5:$C$29,A14)-SUMIFS('Source_Data'!$G$5:$G$29,'Source_Data'!$C$5:$C$29,A14))</f>
      </c>
      <c r="D14" s="68"/>
      <c r="E14" s="67" t="str">
        <f>IF(A14="","",C14-D14)</f>
      </c>
      <c r="F14" s="68"/>
      <c r="G14" s="48" t="str">
        <f>IF(A14="","",IF(OR(D14="",F14=""),"NOT READY",IF(ABS(E14)&lt;=F14,"PASS","REVIEW")))</f>
      </c>
      <c r="H14" s="50"/>
    </row>
    <row r="15">
      <c r="A15" s="50"/>
      <c r="B15" s="50"/>
      <c r="C15" s="67" t="str">
        <f>IF(A15="","",SUMIFS('Source_Data'!$F$5:$F$29,'Source_Data'!$C$5:$C$29,A15)-SUMIFS('Source_Data'!$G$5:$G$29,'Source_Data'!$C$5:$C$29,A15))</f>
      </c>
      <c r="D15" s="68"/>
      <c r="E15" s="67" t="str">
        <f>IF(A15="","",C15-D15)</f>
      </c>
      <c r="F15" s="68"/>
      <c r="G15" s="48" t="str">
        <f>IF(A15="","",IF(OR(D15="",F15=""),"NOT READY",IF(ABS(E15)&lt;=F15,"PASS","REVIEW")))</f>
      </c>
      <c r="H15" s="50"/>
    </row>
    <row r="16">
      <c r="A16" s="50"/>
      <c r="B16" s="50"/>
      <c r="C16" s="67" t="str">
        <f>IF(A16="","",SUMIFS('Source_Data'!$F$5:$F$29,'Source_Data'!$C$5:$C$29,A16)-SUMIFS('Source_Data'!$G$5:$G$29,'Source_Data'!$C$5:$C$29,A16))</f>
      </c>
      <c r="D16" s="68"/>
      <c r="E16" s="67" t="str">
        <f>IF(A16="","",C16-D16)</f>
      </c>
      <c r="F16" s="68"/>
      <c r="G16" s="48" t="str">
        <f>IF(A16="","",IF(OR(D16="",F16=""),"NOT READY",IF(ABS(E16)&lt;=F16,"PASS","REVIEW")))</f>
      </c>
      <c r="H16" s="50"/>
    </row>
    <row r="17">
      <c r="A17" s="50"/>
      <c r="B17" s="50"/>
      <c r="C17" s="67" t="str">
        <f>IF(A17="","",SUMIFS('Source_Data'!$F$5:$F$29,'Source_Data'!$C$5:$C$29,A17)-SUMIFS('Source_Data'!$G$5:$G$29,'Source_Data'!$C$5:$C$29,A17))</f>
      </c>
      <c r="D17" s="68"/>
      <c r="E17" s="67" t="str">
        <f>IF(A17="","",C17-D17)</f>
      </c>
      <c r="F17" s="68"/>
      <c r="G17" s="48" t="str">
        <f>IF(A17="","",IF(OR(D17="",F17=""),"NOT READY",IF(ABS(E17)&lt;=F17,"PASS","REVIEW")))</f>
      </c>
      <c r="H17" s="50"/>
    </row>
    <row r="18">
      <c r="A18" s="50"/>
      <c r="B18" s="50"/>
      <c r="C18" s="67" t="str">
        <f>IF(A18="","",SUMIFS('Source_Data'!$F$5:$F$29,'Source_Data'!$C$5:$C$29,A18)-SUMIFS('Source_Data'!$G$5:$G$29,'Source_Data'!$C$5:$C$29,A18))</f>
      </c>
      <c r="D18" s="68"/>
      <c r="E18" s="67" t="str">
        <f>IF(A18="","",C18-D18)</f>
      </c>
      <c r="F18" s="68"/>
      <c r="G18" s="48" t="str">
        <f>IF(A18="","",IF(OR(D18="",F18=""),"NOT READY",IF(ABS(E18)&lt;=F18,"PASS","REVIEW")))</f>
      </c>
      <c r="H18" s="50"/>
    </row>
    <row r="19">
      <c r="A19" s="50"/>
      <c r="B19" s="50"/>
      <c r="C19" s="67" t="str">
        <f>IF(A19="","",SUMIFS('Source_Data'!$F$5:$F$29,'Source_Data'!$C$5:$C$29,A19)-SUMIFS('Source_Data'!$G$5:$G$29,'Source_Data'!$C$5:$C$29,A19))</f>
      </c>
      <c r="D19" s="68"/>
      <c r="E19" s="67" t="str">
        <f>IF(A19="","",C19-D19)</f>
      </c>
      <c r="F19" s="68"/>
      <c r="G19" s="48" t="str">
        <f>IF(A19="","",IF(OR(D19="",F19=""),"NOT READY",IF(ABS(E19)&lt;=F19,"PASS","REVIEW")))</f>
      </c>
      <c r="H19" s="50"/>
    </row>
    <row r="20">
      <c r="A20" s="50"/>
      <c r="B20" s="50"/>
      <c r="C20" s="67" t="str">
        <f>IF(A20="","",SUMIFS('Source_Data'!$F$5:$F$29,'Source_Data'!$C$5:$C$29,A20)-SUMIFS('Source_Data'!$G$5:$G$29,'Source_Data'!$C$5:$C$29,A20))</f>
      </c>
      <c r="D20" s="68"/>
      <c r="E20" s="67" t="str">
        <f>IF(A20="","",C20-D20)</f>
      </c>
      <c r="F20" s="68"/>
      <c r="G20" s="48" t="str">
        <f>IF(A20="","",IF(OR(D20="",F20=""),"NOT READY",IF(ABS(E20)&lt;=F20,"PASS","REVIEW")))</f>
      </c>
      <c r="H20" s="50"/>
    </row>
    <row r="21">
      <c r="A21" s="50"/>
      <c r="B21" s="50"/>
      <c r="C21" s="67" t="str">
        <f>IF(A21="","",SUMIFS('Source_Data'!$F$5:$F$29,'Source_Data'!$C$5:$C$29,A21)-SUMIFS('Source_Data'!$G$5:$G$29,'Source_Data'!$C$5:$C$29,A21))</f>
      </c>
      <c r="D21" s="68"/>
      <c r="E21" s="67" t="str">
        <f>IF(A21="","",C21-D21)</f>
      </c>
      <c r="F21" s="68"/>
      <c r="G21" s="48" t="str">
        <f>IF(A21="","",IF(OR(D21="",F21=""),"NOT READY",IF(ABS(E21)&lt;=F21,"PASS","REVIEW")))</f>
      </c>
      <c r="H21" s="50"/>
    </row>
    <row r="22">
      <c r="A22" s="50"/>
      <c r="B22" s="50"/>
      <c r="C22" s="67" t="str">
        <f>IF(A22="","",SUMIFS('Source_Data'!$F$5:$F$29,'Source_Data'!$C$5:$C$29,A22)-SUMIFS('Source_Data'!$G$5:$G$29,'Source_Data'!$C$5:$C$29,A22))</f>
      </c>
      <c r="D22" s="68"/>
      <c r="E22" s="67" t="str">
        <f>IF(A22="","",C22-D22)</f>
      </c>
      <c r="F22" s="68"/>
      <c r="G22" s="48" t="str">
        <f>IF(A22="","",IF(OR(D22="",F22=""),"NOT READY",IF(ABS(E22)&lt;=F22,"PASS","REVIEW")))</f>
      </c>
      <c r="H22" s="50"/>
    </row>
    <row r="23">
      <c r="A23" s="50"/>
      <c r="B23" s="50"/>
      <c r="C23" s="67" t="str">
        <f>IF(A23="","",SUMIFS('Source_Data'!$F$5:$F$29,'Source_Data'!$C$5:$C$29,A23)-SUMIFS('Source_Data'!$G$5:$G$29,'Source_Data'!$C$5:$C$29,A23))</f>
      </c>
      <c r="D23" s="68"/>
      <c r="E23" s="67" t="str">
        <f>IF(A23="","",C23-D23)</f>
      </c>
      <c r="F23" s="68"/>
      <c r="G23" s="48" t="str">
        <f>IF(A23="","",IF(OR(D23="",F23=""),"NOT READY",IF(ABS(E23)&lt;=F23,"PASS","REVIEW")))</f>
      </c>
      <c r="H23" s="50"/>
    </row>
    <row r="24">
      <c r="A24" s="50"/>
      <c r="B24" s="50"/>
      <c r="C24" s="67" t="str">
        <f>IF(A24="","",SUMIFS('Source_Data'!$F$5:$F$29,'Source_Data'!$C$5:$C$29,A24)-SUMIFS('Source_Data'!$G$5:$G$29,'Source_Data'!$C$5:$C$29,A24))</f>
      </c>
      <c r="D24" s="68"/>
      <c r="E24" s="67" t="str">
        <f>IF(A24="","",C24-D24)</f>
      </c>
      <c r="F24" s="68"/>
      <c r="G24" s="48" t="str">
        <f>IF(A24="","",IF(OR(D24="",F24=""),"NOT READY",IF(ABS(E24)&lt;=F24,"PASS","REVIEW")))</f>
      </c>
      <c r="H24" s="50"/>
    </row>
  </sheetData>
  <mergeCells>
    <mergeCell ref="A1:H1"/>
    <mergeCell ref="A2:H2"/>
  </mergeCells>
  <conditionalFormatting sqref="G5:G24">
    <cfRule type="containsText" dxfId="0" priority="1" operator="containsText" text="PASS"/>
    <cfRule type="containsText" dxfId="1" priority="2" operator="containsText" text="REVIEW"/>
  </conditionalFormatting>
  <printOptions horizontalCentered="1"/>
  <pageMargins left="0.25" right="0.25" top="0.5" bottom="0.5" header="0.2" footer="0.2"/>
  <pageSetup paperSize="1" orientation="landscape" fitToWidth="1" fitToHeight="1"/>
  <tableParts count="1">
    <tablePart r:id="Re79f869f66194a62"/>
  </tableParts>
</worksheet>
</file>

<file path=xl/worksheets/sheet5.xml><?xml version="1.0" encoding="utf-8"?>
<worksheet xmlns="http://schemas.openxmlformats.org/spreadsheetml/2006/main" xmlns:r="http://schemas.openxmlformats.org/officeDocument/2006/relationships">
  <sheetPr>
    <pageSetUpPr fitToPage="1"/>
  </sheetPr>
  <sheetViews>
    <sheetView showGridLines="0" workbookViewId="0">
      <pane ySplit="4" topLeftCell="A5" activePane="bottomLeft" state="frozen"/>
    </sheetView>
  </sheetViews>
  <sheetFormatPr defaultRowHeight="15"/>
  <cols>
    <col min="3" max="3" width="32" hidden="0" customWidth="1"/>
    <col min="1" max="1" width="18" hidden="0" customWidth="1"/>
    <col min="2" max="2" width="18" hidden="0" customWidth="1"/>
    <col min="4" max="4" width="20" hidden="0" customWidth="1"/>
    <col min="5" max="5" width="20" hidden="0" customWidth="1"/>
    <col min="6" max="6" width="20" hidden="0" customWidth="1"/>
    <col min="7" max="7" width="20" hidden="0" customWidth="1"/>
    <col min="8" max="8" width="20" hidden="0" customWidth="1"/>
  </cols>
  <sheetData>
    <row r="1" ht="28" customHeight="1">
      <c r="A1" s="46" t="str">
        <v>Proposed Entries</v>
      </c>
      <c r="B1" s="46"/>
      <c r="C1" s="46"/>
      <c r="D1" s="46"/>
      <c r="E1" s="46"/>
      <c r="F1" s="46"/>
      <c r="G1" s="46"/>
      <c r="H1" s="46"/>
    </row>
    <row r="2" ht="30" customHeight="1">
      <c r="A2" s="47" t="str">
        <v>Build entries only from resolved reconciliation differences and authorized adjustments.</v>
      </c>
      <c r="B2" s="47"/>
      <c r="C2" s="47"/>
      <c r="D2" s="47"/>
      <c r="E2" s="47"/>
      <c r="F2" s="47"/>
      <c r="G2" s="47"/>
      <c r="H2" s="47"/>
    </row>
    <row r="3">
      <c r="A3" s="48"/>
      <c r="B3" s="48"/>
      <c r="C3" s="48"/>
      <c r="D3" s="48"/>
      <c r="E3" s="48"/>
      <c r="F3" s="48"/>
      <c r="G3" s="48"/>
      <c r="H3" s="48"/>
    </row>
    <row r="4">
      <c r="A4" s="49" t="str">
        <v>Entry ID</v>
      </c>
      <c r="B4" s="49" t="str">
        <v>Account Code</v>
      </c>
      <c r="C4" s="49" t="str">
        <v>Description</v>
      </c>
      <c r="D4" s="49" t="str">
        <v>Debit</v>
      </c>
      <c r="E4" s="49" t="str">
        <v>Credit</v>
      </c>
      <c r="F4" s="49" t="str">
        <v>Source Reference</v>
      </c>
      <c r="G4" s="49" t="str">
        <v>Preparation Status</v>
      </c>
      <c r="H4" s="49" t="str">
        <v>Review Note</v>
      </c>
    </row>
    <row r="5">
      <c r="A5" s="50"/>
      <c r="B5" s="50"/>
      <c r="C5" s="50"/>
      <c r="D5" s="68"/>
      <c r="E5" s="68"/>
      <c r="F5" s="50"/>
      <c r="G5" s="50"/>
      <c r="H5" s="50"/>
    </row>
    <row r="6">
      <c r="A6" s="50"/>
      <c r="B6" s="50"/>
      <c r="C6" s="50"/>
      <c r="D6" s="68"/>
      <c r="E6" s="68"/>
      <c r="F6" s="50"/>
      <c r="G6" s="50"/>
      <c r="H6" s="50"/>
    </row>
    <row r="7">
      <c r="A7" s="50"/>
      <c r="B7" s="50"/>
      <c r="C7" s="50"/>
      <c r="D7" s="68"/>
      <c r="E7" s="68"/>
      <c r="F7" s="50"/>
      <c r="G7" s="50"/>
      <c r="H7" s="50"/>
    </row>
    <row r="8">
      <c r="A8" s="50"/>
      <c r="B8" s="50"/>
      <c r="C8" s="50"/>
      <c r="D8" s="68"/>
      <c r="E8" s="68"/>
      <c r="F8" s="50"/>
      <c r="G8" s="50"/>
      <c r="H8" s="50"/>
    </row>
    <row r="9">
      <c r="A9" s="50"/>
      <c r="B9" s="50"/>
      <c r="C9" s="50"/>
      <c r="D9" s="68"/>
      <c r="E9" s="68"/>
      <c r="F9" s="50"/>
      <c r="G9" s="50"/>
      <c r="H9" s="50"/>
    </row>
    <row r="10">
      <c r="A10" s="50"/>
      <c r="B10" s="50"/>
      <c r="C10" s="50"/>
      <c r="D10" s="68"/>
      <c r="E10" s="68"/>
      <c r="F10" s="50"/>
      <c r="G10" s="50"/>
      <c r="H10" s="50"/>
    </row>
    <row r="11">
      <c r="A11" s="50"/>
      <c r="B11" s="50"/>
      <c r="C11" s="50"/>
      <c r="D11" s="68"/>
      <c r="E11" s="68"/>
      <c r="F11" s="50"/>
      <c r="G11" s="50"/>
      <c r="H11" s="50"/>
    </row>
    <row r="12">
      <c r="A12" s="50"/>
      <c r="B12" s="50"/>
      <c r="C12" s="50"/>
      <c r="D12" s="68"/>
      <c r="E12" s="68"/>
      <c r="F12" s="50"/>
      <c r="G12" s="50"/>
      <c r="H12" s="50"/>
    </row>
    <row r="13">
      <c r="A13" s="50"/>
      <c r="B13" s="50"/>
      <c r="C13" s="50"/>
      <c r="D13" s="68"/>
      <c r="E13" s="68"/>
      <c r="F13" s="50"/>
      <c r="G13" s="50"/>
      <c r="H13" s="50"/>
    </row>
    <row r="14">
      <c r="A14" s="50"/>
      <c r="B14" s="50"/>
      <c r="C14" s="50"/>
      <c r="D14" s="68"/>
      <c r="E14" s="68"/>
      <c r="F14" s="50"/>
      <c r="G14" s="50"/>
      <c r="H14" s="50"/>
    </row>
    <row r="15">
      <c r="A15" s="50"/>
      <c r="B15" s="50"/>
      <c r="C15" s="50"/>
      <c r="D15" s="68"/>
      <c r="E15" s="68"/>
      <c r="F15" s="50"/>
      <c r="G15" s="50"/>
      <c r="H15" s="50"/>
    </row>
    <row r="16">
      <c r="A16" s="50"/>
      <c r="B16" s="50"/>
      <c r="C16" s="50"/>
      <c r="D16" s="68"/>
      <c r="E16" s="68"/>
      <c r="F16" s="50"/>
      <c r="G16" s="50"/>
      <c r="H16" s="50"/>
    </row>
    <row r="17">
      <c r="A17" s="50"/>
      <c r="B17" s="50"/>
      <c r="C17" s="50"/>
      <c r="D17" s="68"/>
      <c r="E17" s="68"/>
      <c r="F17" s="50"/>
      <c r="G17" s="50"/>
      <c r="H17" s="50"/>
    </row>
    <row r="18">
      <c r="A18" s="50"/>
      <c r="B18" s="50"/>
      <c r="C18" s="50"/>
      <c r="D18" s="68"/>
      <c r="E18" s="68"/>
      <c r="F18" s="50"/>
      <c r="G18" s="50"/>
      <c r="H18" s="50"/>
    </row>
    <row r="19">
      <c r="A19" s="50"/>
      <c r="B19" s="50"/>
      <c r="C19" s="50"/>
      <c r="D19" s="68"/>
      <c r="E19" s="68"/>
      <c r="F19" s="50"/>
      <c r="G19" s="50"/>
      <c r="H19" s="50"/>
    </row>
  </sheetData>
  <mergeCells>
    <mergeCell ref="A1:H1"/>
    <mergeCell ref="A2:H2"/>
  </mergeCells>
  <dataValidations count="1">
    <dataValidation type="list" sqref="G5:G19">
      <formula1>"Draft,Ready for review,Hold"</formula1>
    </dataValidation>
  </dataValidations>
  <printOptions horizontalCentered="1"/>
  <pageMargins left="0.25" right="0.25" top="0.5" bottom="0.5" header="0.2" footer="0.2"/>
  <pageSetup paperSize="1" orientation="landscape" fitToWidth="1" fitToHeight="1"/>
  <tableParts count="1">
    <tablePart r:id="R0dc8b4728cd442b2"/>
  </tableParts>
</worksheet>
</file>

<file path=xl/worksheets/sheet6.xml><?xml version="1.0" encoding="utf-8"?>
<worksheet xmlns="http://schemas.openxmlformats.org/spreadsheetml/2006/main" xmlns:r="http://schemas.openxmlformats.org/officeDocument/2006/relationships">
  <sheetPr>
    <pageSetUpPr fitToPage="1"/>
  </sheetPr>
  <sheetViews>
    <sheetView showGridLines="0" workbookViewId="0">
      <pane ySplit="4" topLeftCell="A5" activePane="bottomLeft" state="frozen"/>
    </sheetView>
  </sheetViews>
  <sheetFormatPr defaultRowHeight="15"/>
  <cols>
    <col min="1" max="1" width="20" hidden="0" customWidth="1"/>
    <col min="2" max="2" width="20" hidden="0" customWidth="1"/>
    <col min="3" max="3" width="20" hidden="0" customWidth="1"/>
    <col min="4" max="4" width="20" hidden="0" customWidth="1"/>
    <col min="5" max="5" width="40" hidden="0" customWidth="1"/>
  </cols>
  <sheetData>
    <row r="1" ht="28" customHeight="1">
      <c r="A1" s="46" t="str">
        <v>Prior Period Comparison</v>
      </c>
      <c r="B1" s="46"/>
      <c r="C1" s="46"/>
      <c r="D1" s="46"/>
      <c r="E1" s="46"/>
      <c r="F1" s="46"/>
      <c r="G1" s="46"/>
      <c r="H1" s="46"/>
    </row>
    <row r="2" ht="30" customHeight="1">
      <c r="A2" s="47" t="str">
        <v>Optional comparison layer; prior-period data is contextual and must not override current authority.</v>
      </c>
      <c r="B2" s="47"/>
      <c r="C2" s="47"/>
      <c r="D2" s="47"/>
      <c r="E2" s="47"/>
      <c r="F2" s="47"/>
      <c r="G2" s="47"/>
      <c r="H2" s="47"/>
    </row>
    <row r="3">
      <c r="A3" s="48"/>
      <c r="B3" s="48"/>
      <c r="C3" s="48"/>
      <c r="D3" s="48"/>
      <c r="E3" s="48"/>
      <c r="F3" s="48"/>
      <c r="G3" s="48"/>
      <c r="H3" s="48"/>
    </row>
    <row r="4">
      <c r="A4" s="49" t="str">
        <v>Account Code</v>
      </c>
      <c r="B4" s="49" t="str">
        <v>Current Balance</v>
      </c>
      <c r="C4" s="49" t="str">
        <v>Prior Balance</v>
      </c>
      <c r="D4" s="49" t="str">
        <v>Change</v>
      </c>
      <c r="E4" s="49" t="str">
        <v>Context Note</v>
      </c>
      <c r="F4" s="48"/>
      <c r="G4" s="48"/>
      <c r="H4" s="48"/>
    </row>
    <row r="5">
      <c r="A5" s="50"/>
      <c r="B5" s="68"/>
      <c r="C5" s="68"/>
      <c r="D5" s="67" t="n">
        <f>B5-C5</f>
        <v>0</v>
      </c>
      <c r="E5" s="50"/>
      <c r="F5" s="48"/>
      <c r="G5" s="48"/>
      <c r="H5" s="48"/>
    </row>
    <row r="6">
      <c r="A6" s="50"/>
      <c r="B6" s="68"/>
      <c r="C6" s="68"/>
      <c r="D6" s="67" t="n">
        <f>B6-C6</f>
        <v>0</v>
      </c>
      <c r="E6" s="50"/>
      <c r="F6" s="48"/>
      <c r="G6" s="48"/>
      <c r="H6" s="48"/>
    </row>
    <row r="7">
      <c r="A7" s="50"/>
      <c r="B7" s="68"/>
      <c r="C7" s="68"/>
      <c r="D7" s="67" t="n">
        <f>B7-C7</f>
        <v>0</v>
      </c>
      <c r="E7" s="50"/>
      <c r="F7" s="48"/>
      <c r="G7" s="48"/>
      <c r="H7" s="48"/>
    </row>
    <row r="8">
      <c r="A8" s="50"/>
      <c r="B8" s="68"/>
      <c r="C8" s="68"/>
      <c r="D8" s="67" t="n">
        <f>B8-C8</f>
        <v>0</v>
      </c>
      <c r="E8" s="50"/>
      <c r="F8" s="48"/>
      <c r="G8" s="48"/>
      <c r="H8" s="48"/>
    </row>
    <row r="9">
      <c r="A9" s="50"/>
      <c r="B9" s="68"/>
      <c r="C9" s="68"/>
      <c r="D9" s="67" t="n">
        <f>B9-C9</f>
        <v>0</v>
      </c>
      <c r="E9" s="50"/>
      <c r="F9" s="48"/>
      <c r="G9" s="48"/>
      <c r="H9" s="48"/>
    </row>
    <row r="10">
      <c r="A10" s="50"/>
      <c r="B10" s="68"/>
      <c r="C10" s="68"/>
      <c r="D10" s="67" t="n">
        <f>B10-C10</f>
        <v>0</v>
      </c>
      <c r="E10" s="50"/>
      <c r="F10" s="48"/>
      <c r="G10" s="48"/>
      <c r="H10" s="48"/>
    </row>
    <row r="11">
      <c r="A11" s="50"/>
      <c r="B11" s="68"/>
      <c r="C11" s="68"/>
      <c r="D11" s="67" t="n">
        <f>B11-C11</f>
        <v>0</v>
      </c>
      <c r="E11" s="50"/>
      <c r="F11" s="48"/>
      <c r="G11" s="48"/>
      <c r="H11" s="48"/>
    </row>
    <row r="12">
      <c r="A12" s="50"/>
      <c r="B12" s="68"/>
      <c r="C12" s="68"/>
      <c r="D12" s="67" t="n">
        <f>B12-C12</f>
        <v>0</v>
      </c>
      <c r="E12" s="50"/>
      <c r="F12" s="48"/>
      <c r="G12" s="48"/>
      <c r="H12" s="48"/>
    </row>
    <row r="13">
      <c r="A13" s="50"/>
      <c r="B13" s="68"/>
      <c r="C13" s="68"/>
      <c r="D13" s="67" t="n">
        <f>B13-C13</f>
        <v>0</v>
      </c>
      <c r="E13" s="50"/>
      <c r="F13" s="48"/>
      <c r="G13" s="48"/>
      <c r="H13" s="48"/>
    </row>
    <row r="14">
      <c r="A14" s="50"/>
      <c r="B14" s="68"/>
      <c r="C14" s="68"/>
      <c r="D14" s="67" t="n">
        <f>B14-C14</f>
        <v>0</v>
      </c>
      <c r="E14" s="50"/>
      <c r="F14" s="48"/>
      <c r="G14" s="48"/>
      <c r="H14" s="48"/>
    </row>
    <row r="15">
      <c r="A15" s="50"/>
      <c r="B15" s="68"/>
      <c r="C15" s="68"/>
      <c r="D15" s="67" t="n">
        <f>B15-C15</f>
        <v>0</v>
      </c>
      <c r="E15" s="50"/>
      <c r="F15" s="48"/>
      <c r="G15" s="48"/>
      <c r="H15" s="48"/>
    </row>
    <row r="16">
      <c r="A16" s="50"/>
      <c r="B16" s="68"/>
      <c r="C16" s="68"/>
      <c r="D16" s="67" t="n">
        <f>B16-C16</f>
        <v>0</v>
      </c>
      <c r="E16" s="50"/>
      <c r="F16" s="48"/>
      <c r="G16" s="48"/>
      <c r="H16" s="48"/>
    </row>
    <row r="17">
      <c r="A17" s="50"/>
      <c r="B17" s="68"/>
      <c r="C17" s="68"/>
      <c r="D17" s="67" t="n">
        <f>B17-C17</f>
        <v>0</v>
      </c>
      <c r="E17" s="50"/>
      <c r="F17" s="48"/>
      <c r="G17" s="48"/>
      <c r="H17" s="48"/>
    </row>
    <row r="18">
      <c r="A18" s="50"/>
      <c r="B18" s="68"/>
      <c r="C18" s="68"/>
      <c r="D18" s="67" t="n">
        <f>B18-C18</f>
        <v>0</v>
      </c>
      <c r="E18" s="50"/>
      <c r="F18" s="48"/>
      <c r="G18" s="48"/>
      <c r="H18" s="48"/>
    </row>
    <row r="19">
      <c r="A19" s="50"/>
      <c r="B19" s="68"/>
      <c r="C19" s="68"/>
      <c r="D19" s="67" t="n">
        <f>B19-C19</f>
        <v>0</v>
      </c>
      <c r="E19" s="50"/>
      <c r="F19" s="48"/>
      <c r="G19" s="48"/>
      <c r="H19" s="48"/>
    </row>
    <row r="20">
      <c r="A20" s="50"/>
      <c r="B20" s="68"/>
      <c r="C20" s="68"/>
      <c r="D20" s="67" t="n">
        <f>B20-C20</f>
        <v>0</v>
      </c>
      <c r="E20" s="50"/>
      <c r="F20" s="48"/>
      <c r="G20" s="48"/>
      <c r="H20" s="48"/>
    </row>
    <row r="21">
      <c r="A21" s="50"/>
      <c r="B21" s="68"/>
      <c r="C21" s="68"/>
      <c r="D21" s="67" t="n">
        <f>B21-C21</f>
        <v>0</v>
      </c>
      <c r="E21" s="50"/>
      <c r="F21" s="48"/>
      <c r="G21" s="48"/>
      <c r="H21" s="48"/>
    </row>
    <row r="22">
      <c r="A22" s="50"/>
      <c r="B22" s="68"/>
      <c r="C22" s="68"/>
      <c r="D22" s="67" t="n">
        <f>B22-C22</f>
        <v>0</v>
      </c>
      <c r="E22" s="50"/>
      <c r="F22" s="48"/>
      <c r="G22" s="48"/>
      <c r="H22" s="48"/>
    </row>
    <row r="23">
      <c r="A23" s="50"/>
      <c r="B23" s="68"/>
      <c r="C23" s="68"/>
      <c r="D23" s="67" t="n">
        <f>B23-C23</f>
        <v>0</v>
      </c>
      <c r="E23" s="50"/>
      <c r="F23" s="48"/>
      <c r="G23" s="48"/>
      <c r="H23" s="48"/>
    </row>
    <row r="24">
      <c r="A24" s="50"/>
      <c r="B24" s="68"/>
      <c r="C24" s="68"/>
      <c r="D24" s="67" t="n">
        <f>B24-C24</f>
        <v>0</v>
      </c>
      <c r="E24" s="50"/>
      <c r="F24" s="48"/>
      <c r="G24" s="48"/>
      <c r="H24" s="48"/>
    </row>
  </sheetData>
  <mergeCells>
    <mergeCell ref="A1:H1"/>
    <mergeCell ref="A2:H2"/>
  </mergeCells>
  <printOptions horizontalCentered="1"/>
  <pageMargins left="0.25" right="0.25" top="0.5" bottom="0.5" header="0.2" footer="0.2"/>
  <pageSetup paperSize="1" orientation="portrait" fitToWidth="1" fitToHeight="1"/>
  <tableParts count="1">
    <tablePart r:id="R939c1ad0b16f41cc"/>
  </tableParts>
</worksheet>
</file>

<file path=xl/worksheets/sheet7.xml><?xml version="1.0" encoding="utf-8"?>
<worksheet xmlns="http://schemas.openxmlformats.org/spreadsheetml/2006/main" xmlns:r="http://schemas.openxmlformats.org/officeDocument/2006/relationships">
  <sheetPr>
    <pageSetUpPr fitToPage="1"/>
  </sheetPr>
  <sheetViews>
    <sheetView showGridLines="0" workbookViewId="0">
      <pane ySplit="4" topLeftCell="A5" activePane="bottomLeft" state="frozen"/>
    </sheetView>
  </sheetViews>
  <sheetFormatPr defaultRowHeight="15"/>
  <cols>
    <col min="1" max="1" width="18" hidden="0" customWidth="1"/>
    <col min="2" max="2" width="18" hidden="0" customWidth="1"/>
    <col min="3" max="3" width="38" hidden="0" customWidth="1"/>
    <col min="4" max="4" width="20" hidden="0" customWidth="1"/>
    <col min="5" max="5" width="20" hidden="0" customWidth="1"/>
    <col min="6" max="6" width="20" hidden="0" customWidth="1"/>
    <col min="7" max="7" width="20" hidden="0" customWidth="1"/>
    <col min="8" max="8" width="20" hidden="0" customWidth="1"/>
  </cols>
  <sheetData>
    <row r="1" ht="28" customHeight="1">
      <c r="A1" s="46" t="str">
        <v>Exception Log</v>
      </c>
      <c r="B1" s="46"/>
      <c r="C1" s="46"/>
      <c r="D1" s="46"/>
      <c r="E1" s="46"/>
      <c r="F1" s="46"/>
      <c r="G1" s="46"/>
      <c r="H1" s="46"/>
    </row>
    <row r="2" ht="30" customHeight="1">
      <c r="A2" s="47" t="str">
        <v>Record only workflow-supported exceptions. Questions do not supply their own resolution.</v>
      </c>
      <c r="B2" s="47"/>
      <c r="C2" s="47"/>
      <c r="D2" s="47"/>
      <c r="E2" s="47"/>
      <c r="F2" s="47"/>
      <c r="G2" s="47"/>
      <c r="H2" s="47"/>
    </row>
    <row r="3">
      <c r="A3" s="48"/>
      <c r="B3" s="48"/>
      <c r="C3" s="48"/>
      <c r="D3" s="48"/>
      <c r="E3" s="48"/>
      <c r="F3" s="48"/>
      <c r="G3" s="48"/>
      <c r="H3" s="48"/>
    </row>
    <row r="4">
      <c r="A4" s="49" t="str">
        <v>Exception ID</v>
      </c>
      <c r="B4" s="49" t="str">
        <v>Detected In</v>
      </c>
      <c r="C4" s="49" t="str">
        <v>Question / Condition</v>
      </c>
      <c r="D4" s="49" t="str">
        <v>Authority Class</v>
      </c>
      <c r="E4" s="49" t="str">
        <v>Owner Role</v>
      </c>
      <c r="F4" s="49" t="str">
        <v>Due Date</v>
      </c>
      <c r="G4" s="49" t="str">
        <v>Status</v>
      </c>
      <c r="H4" s="49" t="str">
        <v>Resolution Reference</v>
      </c>
    </row>
    <row r="5">
      <c r="A5" s="50"/>
      <c r="B5" s="50"/>
      <c r="C5" s="50"/>
      <c r="D5" s="50"/>
      <c r="E5" s="50"/>
      <c r="F5" s="69"/>
      <c r="G5" s="50"/>
      <c r="H5" s="50"/>
    </row>
    <row r="6">
      <c r="A6" s="50"/>
      <c r="B6" s="50"/>
      <c r="C6" s="50"/>
      <c r="D6" s="50"/>
      <c r="E6" s="50"/>
      <c r="F6" s="69"/>
      <c r="G6" s="50"/>
      <c r="H6" s="50"/>
    </row>
    <row r="7">
      <c r="A7" s="50"/>
      <c r="B7" s="50"/>
      <c r="C7" s="50"/>
      <c r="D7" s="50"/>
      <c r="E7" s="50"/>
      <c r="F7" s="69"/>
      <c r="G7" s="50"/>
      <c r="H7" s="50"/>
    </row>
    <row r="8">
      <c r="A8" s="50"/>
      <c r="B8" s="50"/>
      <c r="C8" s="50"/>
      <c r="D8" s="50"/>
      <c r="E8" s="50"/>
      <c r="F8" s="69"/>
      <c r="G8" s="50"/>
      <c r="H8" s="50"/>
    </row>
    <row r="9">
      <c r="A9" s="50"/>
      <c r="B9" s="50"/>
      <c r="C9" s="50"/>
      <c r="D9" s="50"/>
      <c r="E9" s="50"/>
      <c r="F9" s="69"/>
      <c r="G9" s="50"/>
      <c r="H9" s="50"/>
    </row>
    <row r="10">
      <c r="A10" s="50"/>
      <c r="B10" s="50"/>
      <c r="C10" s="50"/>
      <c r="D10" s="50"/>
      <c r="E10" s="50"/>
      <c r="F10" s="69"/>
      <c r="G10" s="50"/>
      <c r="H10" s="50"/>
    </row>
    <row r="11">
      <c r="A11" s="50"/>
      <c r="B11" s="50"/>
      <c r="C11" s="50"/>
      <c r="D11" s="50"/>
      <c r="E11" s="50"/>
      <c r="F11" s="69"/>
      <c r="G11" s="50"/>
      <c r="H11" s="50"/>
    </row>
    <row r="12">
      <c r="A12" s="50"/>
      <c r="B12" s="50"/>
      <c r="C12" s="50"/>
      <c r="D12" s="50"/>
      <c r="E12" s="50"/>
      <c r="F12" s="69"/>
      <c r="G12" s="50"/>
      <c r="H12" s="50"/>
    </row>
    <row r="13">
      <c r="A13" s="50"/>
      <c r="B13" s="50"/>
      <c r="C13" s="50"/>
      <c r="D13" s="50"/>
      <c r="E13" s="50"/>
      <c r="F13" s="69"/>
      <c r="G13" s="50"/>
      <c r="H13" s="50"/>
    </row>
    <row r="14">
      <c r="A14" s="50"/>
      <c r="B14" s="50"/>
      <c r="C14" s="50"/>
      <c r="D14" s="50"/>
      <c r="E14" s="50"/>
      <c r="F14" s="69"/>
      <c r="G14" s="50"/>
      <c r="H14" s="50"/>
    </row>
    <row r="15">
      <c r="A15" s="50"/>
      <c r="B15" s="50"/>
      <c r="C15" s="50"/>
      <c r="D15" s="50"/>
      <c r="E15" s="50"/>
      <c r="F15" s="69"/>
      <c r="G15" s="50"/>
      <c r="H15" s="50"/>
    </row>
    <row r="16">
      <c r="A16" s="50"/>
      <c r="B16" s="50"/>
      <c r="C16" s="50"/>
      <c r="D16" s="50"/>
      <c r="E16" s="50"/>
      <c r="F16" s="69"/>
      <c r="G16" s="50"/>
      <c r="H16" s="50"/>
    </row>
    <row r="17">
      <c r="A17" s="50"/>
      <c r="B17" s="50"/>
      <c r="C17" s="50"/>
      <c r="D17" s="50"/>
      <c r="E17" s="50"/>
      <c r="F17" s="69"/>
      <c r="G17" s="50"/>
      <c r="H17" s="50"/>
    </row>
    <row r="18">
      <c r="A18" s="50"/>
      <c r="B18" s="50"/>
      <c r="C18" s="50"/>
      <c r="D18" s="50"/>
      <c r="E18" s="50"/>
      <c r="F18" s="69"/>
      <c r="G18" s="50"/>
      <c r="H18" s="50"/>
    </row>
    <row r="19">
      <c r="A19" s="50"/>
      <c r="B19" s="50"/>
      <c r="C19" s="50"/>
      <c r="D19" s="50"/>
      <c r="E19" s="50"/>
      <c r="F19" s="69"/>
      <c r="G19" s="50"/>
      <c r="H19" s="50"/>
    </row>
  </sheetData>
  <mergeCells>
    <mergeCell ref="A1:H1"/>
    <mergeCell ref="A2:H2"/>
  </mergeCells>
  <dataValidations count="2">
    <dataValidation type="list" sqref="D5:D19">
      <formula1>"supporting,contextual,question-only,superseded"</formula1>
    </dataValidation>
    <dataValidation type="list" sqref="G5:G19">
      <formula1>"Open,Resolved,Retained"</formula1>
    </dataValidation>
  </dataValidations>
  <printOptions horizontalCentered="1"/>
  <pageMargins left="0.25" right="0.25" top="0.5" bottom="0.5" header="0.2" footer="0.2"/>
  <pageSetup paperSize="1" orientation="landscape" fitToWidth="1" fitToHeight="1"/>
  <tableParts count="1">
    <tablePart r:id="R62cec95be2364aea"/>
  </tableParts>
</worksheet>
</file>

<file path=xl/worksheets/sheet8.xml><?xml version="1.0" encoding="utf-8"?>
<worksheet xmlns="http://schemas.openxmlformats.org/spreadsheetml/2006/main">
  <sheetPr>
    <pageSetUpPr fitToPage="1"/>
  </sheetPr>
  <sheetViews>
    <sheetView showGridLines="0" workbookViewId="0">
      <pane ySplit="4" topLeftCell="A5" activePane="bottomLeft" state="frozen"/>
    </sheetView>
  </sheetViews>
  <sheetFormatPr defaultRowHeight="15"/>
  <cols>
    <col min="1" max="1" width="42" hidden="0" customWidth="1"/>
    <col min="2" max="2" width="22" hidden="0" customWidth="1"/>
    <col min="3" max="3" width="22" hidden="0" customWidth="1"/>
    <col min="4" max="4" width="22" hidden="0" customWidth="1"/>
  </cols>
  <sheetData>
    <row r="1" ht="28" customHeight="1">
      <c r="A1" s="46" t="str">
        <v>Control Checks</v>
      </c>
      <c r="B1" s="46"/>
      <c r="C1" s="46"/>
      <c r="D1" s="46"/>
      <c r="E1" s="46"/>
      <c r="F1" s="46"/>
      <c r="G1" s="46"/>
      <c r="H1" s="46"/>
    </row>
    <row r="2" ht="30" customHeight="1">
      <c r="A2" s="47" t="str">
        <v>PASS indicates internal workbook checks only; it is not evidence of approval or release.</v>
      </c>
      <c r="B2" s="47"/>
      <c r="C2" s="47"/>
      <c r="D2" s="47"/>
      <c r="E2" s="47"/>
      <c r="F2" s="47"/>
      <c r="G2" s="47"/>
      <c r="H2" s="47"/>
    </row>
    <row r="3">
      <c r="A3" s="48"/>
      <c r="B3" s="48"/>
      <c r="C3" s="48"/>
      <c r="D3" s="48"/>
      <c r="E3" s="48"/>
      <c r="F3" s="48"/>
      <c r="G3" s="48"/>
      <c r="H3" s="48"/>
    </row>
    <row r="4">
      <c r="A4" s="49" t="str">
        <v>Check</v>
      </c>
      <c r="B4" s="49" t="str">
        <v>Result</v>
      </c>
      <c r="C4" s="49" t="str">
        <v>Delta / Count</v>
      </c>
      <c r="D4" s="49" t="str">
        <v>Where to fix</v>
      </c>
      <c r="E4" s="48"/>
      <c r="F4" s="48"/>
      <c r="G4" s="48"/>
      <c r="H4" s="48"/>
    </row>
    <row r="5">
      <c r="A5" s="48" t="str">
        <v>Source population loaded</v>
      </c>
      <c r="B5" s="48" t="str">
        <f>IF(C5=0,"NOT READY","PASS")</f>
        <v>NOT READY</v>
      </c>
      <c r="C5" s="48" t="n">
        <f>COUNTA('Source_Data'!$A$5:$A$29)</f>
        <v>0</v>
      </c>
      <c r="D5" s="48" t="str">
        <v>Source_Data</v>
      </c>
      <c r="E5" s="48"/>
      <c r="F5" s="48"/>
      <c r="G5" s="48"/>
      <c r="H5" s="48"/>
    </row>
    <row r="6">
      <c r="A6" s="48" t="str">
        <v>Source debits equal source credits</v>
      </c>
      <c r="B6" s="48" t="str">
        <f>IF(C5=0,"NOT READY",IF(ABS(C6)&lt;0.005,"PASS","FAIL"))</f>
        <v>NOT READY</v>
      </c>
      <c r="C6" s="48" t="n">
        <f>SUM('Source_Data'!$F$5:$F$29)-SUM('Source_Data'!$G$5:$G$29)</f>
        <v>0</v>
      </c>
      <c r="D6" s="48" t="str">
        <v>Source_Data</v>
      </c>
      <c r="E6" s="48"/>
      <c r="F6" s="48"/>
      <c r="G6" s="48"/>
      <c r="H6" s="48"/>
    </row>
    <row r="7">
      <c r="A7" s="48" t="str">
        <v>Account mapping loaded</v>
      </c>
      <c r="B7" s="48" t="str">
        <f>IF(C7=0,"NOT READY","PASS")</f>
        <v>NOT READY</v>
      </c>
      <c r="C7" s="48" t="n">
        <f>COUNTA('Account_Map'!$A$5:$A$29)</f>
        <v>0</v>
      </c>
      <c r="D7" s="48" t="str">
        <v>Account_Map</v>
      </c>
      <c r="E7" s="48"/>
      <c r="F7" s="48"/>
      <c r="G7" s="48"/>
      <c r="H7" s="48"/>
    </row>
    <row r="8">
      <c r="A8" s="48" t="str">
        <v>Reconciliation rows complete and passing</v>
      </c>
      <c r="B8" s="48" t="str">
        <f>IF(COUNTA('Reconciliation'!$A$5:$A$24)=0,"NOT READY",IF(C8=0,"PASS","FAIL"))</f>
        <v>NOT READY</v>
      </c>
      <c r="C8" s="48" t="n">
        <f>COUNTA('Reconciliation'!$A$5:$A$24)-COUNTIF('Reconciliation'!$G$5:$G$24,"PASS")</f>
        <v>0</v>
      </c>
      <c r="D8" s="48" t="str">
        <v>Reconciliation</v>
      </c>
      <c r="E8" s="48"/>
      <c r="F8" s="48"/>
      <c r="G8" s="48"/>
      <c r="H8" s="48"/>
    </row>
    <row r="9">
      <c r="A9" s="48" t="str">
        <v>Proposed entries balanced when present</v>
      </c>
      <c r="B9" s="48" t="str">
        <f>IF(COUNTA('Proposed_Entries'!$A$5:$A$19)=0,"NOT APPLICABLE",IF(ABS(C9)&lt;0.005,"PASS","FAIL"))</f>
        <v>NOT APPLICABLE</v>
      </c>
      <c r="C9" s="48" t="n">
        <f>SUM('Proposed_Entries'!$D$5:$D$19)-SUM('Proposed_Entries'!$E$5:$E$19)</f>
        <v>0</v>
      </c>
      <c r="D9" s="48" t="str">
        <v>Proposed_Entries</v>
      </c>
      <c r="E9" s="48"/>
      <c r="F9" s="48"/>
      <c r="G9" s="48"/>
      <c r="H9" s="48"/>
    </row>
    <row r="10">
      <c r="A10" s="48" t="str">
        <v>No open exceptions</v>
      </c>
      <c r="B10" s="48" t="str">
        <f>IF(COUNTA('Reconciliation'!$A$5:$A$24)=0,"NOT READY",IF(C10=0,"PASS","FAIL"))</f>
        <v>NOT READY</v>
      </c>
      <c r="C10" s="48" t="n">
        <f>COUNTIF('Exceptions'!$G$5:$G$19,"Open")</f>
        <v>0</v>
      </c>
      <c r="D10" s="48" t="str">
        <v>Exceptions</v>
      </c>
      <c r="E10" s="48"/>
      <c r="F10" s="48"/>
      <c r="G10" s="48"/>
      <c r="H10" s="48"/>
    </row>
    <row r="11">
      <c r="A11" s="48" t="str">
        <v>Required close fields populated</v>
      </c>
      <c r="B11" s="48" t="str">
        <f>IF(C11=0,"PASS","NOT READY")</f>
        <v>NOT READY</v>
      </c>
      <c r="C11" s="48" t="n">
        <f>IF(OR(COUNTBLANK('Close_Control'!B5:B8)&gt;0,LEFT('Close_Control'!B5,1)="{",LEFT('Close_Control'!B6,1)="{",LEFT('Close_Control'!B7,1)="{",LEFT('Close_Control'!B8,1)="{"),1,0)</f>
        <v>1</v>
      </c>
      <c r="D11" s="48" t="str">
        <v>Close_Control</v>
      </c>
      <c r="E11" s="48"/>
      <c r="F11" s="48"/>
      <c r="G11" s="48"/>
      <c r="H11" s="48"/>
    </row>
    <row r="12">
      <c r="A12" s="48"/>
      <c r="B12" s="48"/>
      <c r="C12" s="48"/>
      <c r="D12" s="48"/>
      <c r="E12" s="48"/>
      <c r="F12" s="48"/>
      <c r="G12" s="48"/>
      <c r="H12" s="48"/>
    </row>
    <row r="13">
      <c r="A13" s="49" t="str">
        <v>MODEL STATUS</v>
      </c>
      <c r="B13" s="49" t="str">
        <v>Formula</v>
      </c>
      <c r="C13" s="48"/>
      <c r="D13" s="48"/>
      <c r="E13" s="48"/>
      <c r="F13" s="48"/>
      <c r="G13" s="48"/>
      <c r="H13" s="48"/>
    </row>
    <row r="14">
      <c r="A14" s="48" t="str">
        <v>Status</v>
      </c>
      <c r="B14" s="70" t="str">
        <f>IF(AND(COUNTIF(B5:B11,"NOT READY")=0,COUNTIF(B5:B11,"FAIL")=0),"PASS","NOT READY")</f>
        <v>NOT READY</v>
      </c>
      <c r="C14" s="48"/>
      <c r="D14" s="48"/>
      <c r="E14" s="48"/>
      <c r="F14" s="48"/>
      <c r="G14" s="48"/>
      <c r="H14" s="48"/>
    </row>
  </sheetData>
  <mergeCells>
    <mergeCell ref="A1:H1"/>
    <mergeCell ref="A2:H2"/>
  </mergeCells>
  <conditionalFormatting sqref="B5:B11">
    <cfRule type="containsText" dxfId="2" priority="1" operator="containsText" text="PASS"/>
    <cfRule type="containsText" dxfId="3" priority="2" operator="containsText" text="FAIL"/>
    <cfRule type="containsText" dxfId="4" priority="3" operator="containsText" text="NOT READY"/>
  </conditionalFormatting>
  <printOptions horizontalCentered="1"/>
  <pageMargins left="0.25" right="0.25" top="0.5" bottom="0.5" header="0.2" footer="0.2"/>
  <pageSetup paperSize="1" orientation="portrait" fitToWidth="1" fitToHeight="1"/>
</worksheet>
</file>