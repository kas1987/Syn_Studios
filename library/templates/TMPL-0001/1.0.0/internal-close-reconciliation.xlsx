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lose_Control" sheetId="1" state="visible" r:id="rId3"/>
    <sheet name="Source_Data" sheetId="2" state="visible" r:id="rId4"/>
    <sheet name="Account_Map" sheetId="3" state="visible" r:id="rId5"/>
    <sheet name="Reconciliation" sheetId="4" state="visible" r:id="rId6"/>
    <sheet name="Proposed_Entries" sheetId="5" state="visible" r:id="rId7"/>
    <sheet name="Prior_Period" sheetId="6" state="visible" r:id="rId8"/>
    <sheet name="Exceptions" sheetId="7" state="visible" r:id="rId9"/>
    <sheet name="Checks" sheetId="8" state="visible" r:id="rId10"/>
  </sheets>
  <definedNames>
    <definedName name="_xlnm.Print_Area" localSheetId="0">'Close_Control'!$A$1:$H$16</definedName>
    <definedName name="_xlnm.Print_Area" localSheetId="1">'Source_Data'!$A$1:$H$29</definedName>
    <definedName name="_xlnm.Print_Area" localSheetId="2">'Account_Map'!$A$1:$E$29</definedName>
    <definedName name="_xlnm.Print_Area" localSheetId="3">'Reconciliation'!$A$1:$H$24</definedName>
    <definedName name="_xlnm.Print_Area" localSheetId="4">'Proposed_Entries'!$A$1:$H$19</definedName>
    <definedName name="_xlnm.Print_Area" localSheetId="5">'Prior_Period'!$A$1:$E$24</definedName>
    <definedName name="_xlnm.Print_Area" localSheetId="6">'Exceptions'!$A$1:$H$19</definedName>
    <definedName name="_xlnm.Print_Area" localSheetId="7">'Checks'!$A$1:$D$16</definedName>
  </definedNames>
  <calcPr iterateCount="100" refMode="A1" iterate="false" iterateDelta="0.001"/>
  <extLst>
    <ext uri="{7626C862-2A13-11E5-B345-FEFF819CDC9F}">
      <ns2:extCalcPr stringRefSyntax="CalcA1ExcelA1"/>
    </ext>
  </extLst>
</workbook>
</file>

<file path=xl/sharedStrings.xml><?xml version="1.0" encoding="utf-8"?>
<sst xmlns="http://schemas.openxmlformats.org/spreadsheetml/2006/main" count="108" uniqueCount="90">
  <si>
    <t xml:space="preserve">Monthly Close &amp; Reconciliation</t>
  </si>
  <si>
    <t xml:space="preserve">Internal working file | supporting analysis | approval is evidenced separately</t>
  </si>
  <si>
    <t xml:space="preserve">Close file field</t>
  </si>
  <si>
    <t xml:space="preserve">Value</t>
  </si>
  <si>
    <t xml:space="preserve">Organization</t>
  </si>
  <si>
    <t xml:space="preserve">{{organization_name}}</t>
  </si>
  <si>
    <t xml:space="preserve">Close period</t>
  </si>
  <si>
    <t xml:space="preserve">{{close_period_end}}</t>
  </si>
  <si>
    <t xml:space="preserve">Prepared by role</t>
  </si>
  <si>
    <t xml:space="preserve">{{preparer_role}}</t>
  </si>
  <si>
    <t xml:space="preserve">Reviewed by role</t>
  </si>
  <si>
    <t xml:space="preserve">{{reviewer_role}}</t>
  </si>
  <si>
    <t xml:space="preserve">File status</t>
  </si>
  <si>
    <t xml:space="preserve">Working</t>
  </si>
  <si>
    <t xml:space="preserve">Close control</t>
  </si>
  <si>
    <t xml:space="preserve">Status</t>
  </si>
  <si>
    <t xml:space="preserve">Evidence reference</t>
  </si>
  <si>
    <t xml:space="preserve">Source population loaded</t>
  </si>
  <si>
    <t xml:space="preserve">Not started</t>
  </si>
  <si>
    <t xml:space="preserve">Account mapping reviewed</t>
  </si>
  <si>
    <t xml:space="preserve">Reconciliation exceptions dispositioned</t>
  </si>
  <si>
    <t xml:space="preserve">Proposed entries balanced</t>
  </si>
  <si>
    <t xml:space="preserve">Controller review completed</t>
  </si>
  <si>
    <t xml:space="preserve">Source Data</t>
  </si>
  <si>
    <t xml:space="preserve">Paste or generate authorized transaction-level rows. Do not place conclusions in this source-system layer.</t>
  </si>
  <si>
    <t xml:space="preserve">Source Row ID</t>
  </si>
  <si>
    <t xml:space="preserve">Entity Code</t>
  </si>
  <si>
    <t xml:space="preserve">Account Code</t>
  </si>
  <si>
    <t xml:space="preserve">Transaction Date</t>
  </si>
  <si>
    <t xml:space="preserve">Description</t>
  </si>
  <si>
    <t xml:space="preserve">Debit</t>
  </si>
  <si>
    <t xml:space="preserve">Credit</t>
  </si>
  <si>
    <t xml:space="preserve">Status Code</t>
  </si>
  <si>
    <t xml:space="preserve">Account Mapping</t>
  </si>
  <si>
    <t xml:space="preserve">Map source codes to the reporting structure. Mapping fields are inputs, not inferred authority.</t>
  </si>
  <si>
    <t xml:space="preserve">Account Name</t>
  </si>
  <si>
    <t xml:space="preserve">Statement Group</t>
  </si>
  <si>
    <t xml:space="preserve">Reconciliation Owner Role</t>
  </si>
  <si>
    <t xml:space="preserve">Active?</t>
  </si>
  <si>
    <t xml:space="preserve">Reconciliation</t>
  </si>
  <si>
    <t xml:space="preserve">Formula-driven comparison of source activity and ledger balance by mapped account.</t>
  </si>
  <si>
    <t xml:space="preserve">Source Net</t>
  </si>
  <si>
    <t xml:space="preserve">Ledger Balance</t>
  </si>
  <si>
    <t xml:space="preserve">Difference</t>
  </si>
  <si>
    <t xml:space="preserve">Threshold</t>
  </si>
  <si>
    <t xml:space="preserve">Explanation / Action</t>
  </si>
  <si>
    <t xml:space="preserve">Proposed Entries</t>
  </si>
  <si>
    <t xml:space="preserve">Build entries only from resolved reconciliation differences and authorized adjustments.</t>
  </si>
  <si>
    <t xml:space="preserve">Entry ID</t>
  </si>
  <si>
    <t xml:space="preserve">Source Reference</t>
  </si>
  <si>
    <t xml:space="preserve">Preparation Status</t>
  </si>
  <si>
    <t xml:space="preserve">Review Note</t>
  </si>
  <si>
    <t xml:space="preserve">Prior Period Comparison</t>
  </si>
  <si>
    <t xml:space="preserve">Optional comparison layer; prior-period data is contextual and must not override current authority.</t>
  </si>
  <si>
    <t xml:space="preserve">Current Balance</t>
  </si>
  <si>
    <t xml:space="preserve">Prior Balance</t>
  </si>
  <si>
    <t xml:space="preserve">Change</t>
  </si>
  <si>
    <t xml:space="preserve">Context Note</t>
  </si>
  <si>
    <t xml:space="preserve">Exception Log</t>
  </si>
  <si>
    <t xml:space="preserve">Record only workflow-supported exceptions. Questions do not supply their own resolution.</t>
  </si>
  <si>
    <t xml:space="preserve">Exception ID</t>
  </si>
  <si>
    <t xml:space="preserve">Detected In</t>
  </si>
  <si>
    <t xml:space="preserve">Question / Condition</t>
  </si>
  <si>
    <t xml:space="preserve">Authority Class</t>
  </si>
  <si>
    <t xml:space="preserve">Owner Role</t>
  </si>
  <si>
    <t xml:space="preserve">Due Date</t>
  </si>
  <si>
    <t xml:space="preserve">Resolution Reference</t>
  </si>
  <si>
    <t xml:space="preserve">Control Checks</t>
  </si>
  <si>
    <t xml:space="preserve">PASS indicates internal workbook checks only; it is not evidence of approval or release.</t>
  </si>
  <si>
    <t xml:space="preserve">Check</t>
  </si>
  <si>
    <t xml:space="preserve">Result</t>
  </si>
  <si>
    <t xml:space="preserve">Delta / Count</t>
  </si>
  <si>
    <t xml:space="preserve">Where to fix</t>
  </si>
  <si>
    <t xml:space="preserve">Source rows complete</t>
  </si>
  <si>
    <t xml:space="preserve">Source_Data</t>
  </si>
  <si>
    <t xml:space="preserve">Source activity is nonzero</t>
  </si>
  <si>
    <t xml:space="preserve">Source debits equal source credits</t>
  </si>
  <si>
    <t xml:space="preserve">Account mapping rows complete</t>
  </si>
  <si>
    <t xml:space="preserve">Account_Map</t>
  </si>
  <si>
    <t xml:space="preserve">Reconciliation inputs complete and passing</t>
  </si>
  <si>
    <t xml:space="preserve">Proposed entries balanced when present</t>
  </si>
  <si>
    <t xml:space="preserve">Proposed_Entries</t>
  </si>
  <si>
    <t xml:space="preserve">No open exceptions</t>
  </si>
  <si>
    <t xml:space="preserve">Exceptions</t>
  </si>
  <si>
    <t xml:space="preserve">Required close fields populated</t>
  </si>
  <si>
    <t xml:space="preserve">Close_Control</t>
  </si>
  <si>
    <t xml:space="preserve">No out-of-capacity data</t>
  </si>
  <si>
    <t xml:space="preserve">All bounded tables</t>
  </si>
  <si>
    <t xml:space="preserve">MODEL STATUS</t>
  </si>
  <si>
    <t xml:space="preserve">Formula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</si>
</sst>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\$#,##0.00;[RED]&quot;($&quot;#,##0.00\);\-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0"/>
      <color rgb="FFFFFFFF"/>
      <name val="Aptos"/>
      <family val="0"/>
      <charset val="1"/>
    </font>
    <font>
      <i val="true"/>
      <sz val="10"/>
      <color rgb="FF44546A"/>
      <name val="Aptos"/>
      <family val="0"/>
      <charset val="1"/>
    </font>
    <font>
      <sz val="10"/>
      <name val="Aptos"/>
      <family val="0"/>
      <charset val="1"/>
    </font>
    <font>
      <b val="true"/>
      <sz val="10"/>
      <color rgb="FF17365D"/>
      <name val="Aptos"/>
      <family val="0"/>
      <charset val="1"/>
    </font>
    <font>
      <b val="true"/>
      <sz val="10"/>
      <name val="Apto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F3F6F9"/>
        <bgColor rgb="FFFFFFFF"/>
      </patternFill>
    </fill>
    <fill>
      <patternFill patternType="solid">
        <fgColor rgb="FFD9EAF7"/>
        <bgColor rgb="FFE7E6E6"/>
      </patternFill>
    </fill>
    <fill>
      <patternFill patternType="solid">
        <fgColor rgb="FFFFF2CC"/>
        <bgColor rgb="FFFCE4D6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 diagonalUp="false" diagonalDown="false">
      <left/>
      <right style="thin">
        <color rgb="FFE7E6E6"/>
      </right>
      <top/>
      <bottom style="thin">
        <color rgb="FFE7E6E6"/>
      </bottom>
      <diagonal/>
    </border>
    <border diagonalUp="false" diagonalDown="false"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 diagonalUp="false" diagonalDown="false">
      <left style="thin">
        <color rgb="FFE7E6E6"/>
      </left>
      <right/>
      <top/>
      <bottom style="thin">
        <color rgb="FFE7E6E6"/>
      </bottom>
      <diagonal/>
    </border>
    <border diagonalUp="false" diagonalDown="false">
      <left/>
      <right style="thin">
        <color rgb="FFE7E6E6"/>
      </right>
      <top style="thin">
        <color rgb="FFE7E6E6"/>
      </top>
      <bottom style="thin">
        <color rgb="FFE7E6E6"/>
      </bottom>
      <diagonal/>
    </border>
    <border diagonalUp="false" diagonalDown="false"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 diagonalUp="false" diagonalDown="false">
      <left style="thin">
        <color rgb="FFE7E6E6"/>
      </left>
      <right/>
      <top style="thin">
        <color rgb="FFE7E6E6"/>
      </top>
      <bottom style="thin">
        <color rgb="FFE7E6E6"/>
      </bottom>
      <diagonal/>
    </border>
    <border diagonalUp="false" diagonalDown="false">
      <left/>
      <right style="thin">
        <color rgb="FFE7E6E6"/>
      </right>
      <top style="thin">
        <color rgb="FFE7E6E6"/>
      </top>
      <bottom/>
      <diagonal/>
    </border>
    <border diagonalUp="false" diagonalDown="false">
      <left style="thin">
        <color rgb="FFE7E6E6"/>
      </left>
      <right style="thin">
        <color rgb="FFE7E6E6"/>
      </right>
      <top style="thin">
        <color rgb="FFE7E6E6"/>
      </top>
      <bottom/>
      <diagonal/>
    </border>
    <border diagonalUp="false" diagonalDown="false">
      <left style="thin">
        <color rgb="FFE7E6E6"/>
      </left>
      <right/>
      <top style="thin">
        <color rgb="FFE7E6E6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3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3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4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5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6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6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8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9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9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9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9"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7365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4C6E7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E7E6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9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ccountMapTable" displayName="AccountMapTable" ref="A4:E29" headerRowCount="1" totalsRowCount="0" totalsRowShown="0">
  <tableColumns count="5">
    <tableColumn id="1" name="Account Code"/>
    <tableColumn id="2" name="Account Name"/>
    <tableColumn id="3" name="Statement Group"/>
    <tableColumn id="4" name="Reconciliation Owner Role"/>
    <tableColumn id="5" name="Active?"/>
  </tableColumns>
</table>
</file>

<file path=xl/tables/table2.xml><?xml version="1.0" encoding="utf-8"?>
<table xmlns="http://schemas.openxmlformats.org/spreadsheetml/2006/main" id="2" name="ExceptionsTable" displayName="ExceptionsTable" ref="A4:H19" headerRowCount="1" totalsRowCount="0" totalsRowShown="0">
  <tableColumns count="8">
    <tableColumn id="1" name="Exception ID"/>
    <tableColumn id="2" name="Detected In"/>
    <tableColumn id="3" name="Question / Condition"/>
    <tableColumn id="4" name="Authority Class"/>
    <tableColumn id="5" name="Owner Role"/>
    <tableColumn id="6" name="Due Date"/>
    <tableColumn id="7" name="Status"/>
    <tableColumn id="8" name="Resolution Reference"/>
  </tableColumns>
</table>
</file>

<file path=xl/tables/table3.xml><?xml version="1.0" encoding="utf-8"?>
<table xmlns="http://schemas.openxmlformats.org/spreadsheetml/2006/main" id="3" name="PriorPeriodTable" displayName="PriorPeriodTable" ref="A4:E24" headerRowCount="1" totalsRowCount="0" totalsRowShown="0">
  <tableColumns count="5">
    <tableColumn id="1" name="Account Code"/>
    <tableColumn id="2" name="Current Balance"/>
    <tableColumn id="3" name="Prior Balance"/>
    <tableColumn id="4" name="Change"/>
    <tableColumn id="5" name="Context Note"/>
  </tableColumns>
</table>
</file>

<file path=xl/tables/table4.xml><?xml version="1.0" encoding="utf-8"?>
<table xmlns="http://schemas.openxmlformats.org/spreadsheetml/2006/main" id="4" name="ProposedEntriesTable" displayName="ProposedEntriesTable" ref="A4:H19" headerRowCount="1" totalsRowCount="0" totalsRowShown="0">
  <tableColumns count="8">
    <tableColumn id="1" name="Entry ID"/>
    <tableColumn id="2" name="Account Code"/>
    <tableColumn id="3" name="Description"/>
    <tableColumn id="4" name="Debit"/>
    <tableColumn id="5" name="Credit"/>
    <tableColumn id="6" name="Source Reference"/>
    <tableColumn id="7" name="Preparation Status"/>
    <tableColumn id="8" name="Review Note"/>
  </tableColumns>
</table>
</file>

<file path=xl/tables/table5.xml><?xml version="1.0" encoding="utf-8"?>
<table xmlns="http://schemas.openxmlformats.org/spreadsheetml/2006/main" id="5" name="ReconciliationTable" displayName="ReconciliationTable" ref="A4:H24" headerRowCount="1" totalsRowCount="0" totalsRowShown="0">
  <tableColumns count="8">
    <tableColumn id="1" name="Account Code"/>
    <tableColumn id="2" name="Account Name"/>
    <tableColumn id="3" name="Source Net"/>
    <tableColumn id="4" name="Ledger Balance"/>
    <tableColumn id="5" name="Difference"/>
    <tableColumn id="6" name="Threshold"/>
    <tableColumn id="7" name="Status"/>
    <tableColumn id="8" name="Explanation / Action"/>
  </tableColumns>
</table>
</file>

<file path=xl/tables/table6.xml><?xml version="1.0" encoding="utf-8"?>
<table xmlns="http://schemas.openxmlformats.org/spreadsheetml/2006/main" id="6" name="SourceDataTable" displayName="SourceDataTable" ref="A4:H29" headerRowCount="1" totalsRowCount="0" totalsRowShown="0">
  <tableColumns count="8">
    <tableColumn id="1" name="Source Row ID"/>
    <tableColumn id="2" name="Entity Code"/>
    <tableColumn id="3" name="Account Code"/>
    <tableColumn id="4" name="Transaction Date"/>
    <tableColumn id="5" name="Description"/>
    <tableColumn id="6" name="Debit"/>
    <tableColumn id="7" name="Credit"/>
    <tableColumn id="8" name="Status Code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>
  <sheetPr filterMode="false">
    <pageSetUpPr fitToPage="1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44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2</v>
      </c>
      <c r="B4" s="4" t="s">
        <v>3</v>
      </c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3" t="s">
        <v>4</v>
      </c>
      <c r="B5" s="5" t="s">
        <v>5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3" t="s">
        <v>6</v>
      </c>
      <c r="B6" s="5" t="s">
        <v>7</v>
      </c>
      <c r="C6" s="3"/>
      <c r="D6" s="3"/>
      <c r="E6" s="3"/>
      <c r="F6" s="3"/>
      <c r="G6" s="3"/>
      <c r="H6" s="3"/>
    </row>
    <row r="7" customFormat="false" ht="15" hidden="false" customHeight="false" outlineLevel="0" collapsed="false">
      <c r="A7" s="3" t="s">
        <v>8</v>
      </c>
      <c r="B7" s="5" t="s">
        <v>9</v>
      </c>
      <c r="C7" s="3"/>
      <c r="D7" s="3"/>
      <c r="E7" s="3"/>
      <c r="F7" s="3"/>
      <c r="G7" s="3"/>
      <c r="H7" s="3"/>
    </row>
    <row r="8" customFormat="false" ht="15" hidden="false" customHeight="false" outlineLevel="0" collapsed="false">
      <c r="A8" s="3" t="s">
        <v>10</v>
      </c>
      <c r="B8" s="5" t="s">
        <v>11</v>
      </c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A9" s="3" t="s">
        <v>12</v>
      </c>
      <c r="B9" s="3" t="s">
        <v>13</v>
      </c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</row>
    <row r="11" customFormat="false" ht="15" hidden="false" customHeight="false" outlineLevel="0" collapsed="false">
      <c r="A11" s="4" t="s">
        <v>14</v>
      </c>
      <c r="B11" s="4" t="s">
        <v>15</v>
      </c>
      <c r="C11" s="4" t="s">
        <v>16</v>
      </c>
      <c r="D11" s="3"/>
      <c r="E11" s="3"/>
      <c r="F11" s="3"/>
      <c r="G11" s="3"/>
      <c r="H11" s="3"/>
    </row>
    <row r="12" customFormat="false" ht="15" hidden="false" customHeight="false" outlineLevel="0" collapsed="false">
      <c r="A12" s="3" t="s">
        <v>17</v>
      </c>
      <c r="B12" s="5" t="s">
        <v>18</v>
      </c>
      <c r="C12" s="5"/>
      <c r="D12" s="3"/>
      <c r="E12" s="3"/>
      <c r="F12" s="3"/>
      <c r="G12" s="3"/>
      <c r="H12" s="3"/>
    </row>
    <row r="13" customFormat="false" ht="15" hidden="false" customHeight="false" outlineLevel="0" collapsed="false">
      <c r="A13" s="3" t="s">
        <v>19</v>
      </c>
      <c r="B13" s="5" t="s">
        <v>18</v>
      </c>
      <c r="C13" s="5"/>
      <c r="D13" s="3"/>
      <c r="E13" s="3"/>
      <c r="F13" s="3"/>
      <c r="G13" s="3"/>
      <c r="H13" s="3"/>
    </row>
    <row r="14" customFormat="false" ht="15" hidden="false" customHeight="false" outlineLevel="0" collapsed="false">
      <c r="A14" s="3" t="s">
        <v>20</v>
      </c>
      <c r="B14" s="5" t="s">
        <v>18</v>
      </c>
      <c r="C14" s="5"/>
      <c r="D14" s="3"/>
      <c r="E14" s="3"/>
      <c r="F14" s="3"/>
      <c r="G14" s="3"/>
      <c r="H14" s="3"/>
    </row>
    <row r="15" customFormat="false" ht="15" hidden="false" customHeight="false" outlineLevel="0" collapsed="false">
      <c r="A15" s="3" t="s">
        <v>21</v>
      </c>
      <c r="B15" s="5" t="s">
        <v>18</v>
      </c>
      <c r="C15" s="5"/>
      <c r="D15" s="3"/>
      <c r="E15" s="3"/>
      <c r="F15" s="3"/>
      <c r="G15" s="3"/>
      <c r="H15" s="3"/>
    </row>
    <row r="16" customFormat="false" ht="15" hidden="false" customHeight="false" outlineLevel="0" collapsed="false">
      <c r="A16" s="3" t="s">
        <v>22</v>
      </c>
      <c r="B16" s="5" t="s">
        <v>18</v>
      </c>
      <c r="C16" s="5"/>
      <c r="D16" s="3"/>
      <c r="E16" s="3"/>
      <c r="F16" s="3"/>
      <c r="G16" s="3"/>
      <c r="H16" s="3"/>
    </row>
  </sheetData>
  <mergeCells count="2">
    <mergeCell ref="A1:H1"/>
    <mergeCell ref="A2:H2"/>
  </mergeCells>
  <dataValidations count="1">
    <dataValidation allowBlank="false" errorStyle="stop" operator="between" showDropDown="false" showErrorMessage="false" showInputMessage="false" sqref="B12:B16" type="list">
      <formula1>"Not started,In progress,Complete,Not applicable"</formula1>
      <formula2>0</formula2>
    </dataValidation>
  </dataValidations>
  <printOptions horizontalCentered="1"/>
  <pageMargins left="0.25" right="0.25" top="0.5" bottom="0.5" header="0.2" footer="0.2"/>
  <pageSetup paperSize="1" orientation="landscape" fitToWidth="1" fitToHeight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1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8"/>
    <col collapsed="false" customWidth="true" hidden="false" outlineLevel="0" max="5" min="5" style="0" width="34"/>
    <col collapsed="false" customWidth="true" hidden="false" outlineLevel="0" max="8" min="6" style="0" width="18"/>
  </cols>
  <sheetData>
    <row r="1" customFormat="false" ht="28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24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6" t="s">
        <v>25</v>
      </c>
      <c r="B4" s="6" t="s">
        <v>26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31</v>
      </c>
      <c r="H4" s="6" t="s">
        <v>32</v>
      </c>
    </row>
    <row r="5" customFormat="false" ht="15" hidden="false" customHeight="false" outlineLevel="0" collapsed="false">
      <c r="A5" s="7"/>
      <c r="B5" s="8"/>
      <c r="C5" s="8"/>
      <c r="D5" s="9"/>
      <c r="E5" s="8"/>
      <c r="F5" s="10"/>
      <c r="G5" s="10"/>
      <c r="H5" s="11"/>
    </row>
    <row r="6" customFormat="false" ht="15" hidden="false" customHeight="false" outlineLevel="0" collapsed="false">
      <c r="A6" s="12"/>
      <c r="B6" s="13"/>
      <c r="C6" s="13"/>
      <c r="D6" s="14"/>
      <c r="E6" s="13"/>
      <c r="F6" s="15"/>
      <c r="G6" s="15"/>
      <c r="H6" s="16"/>
    </row>
    <row r="7" customFormat="false" ht="15" hidden="false" customHeight="false" outlineLevel="0" collapsed="false">
      <c r="A7" s="12"/>
      <c r="B7" s="13"/>
      <c r="C7" s="13"/>
      <c r="D7" s="14"/>
      <c r="E7" s="13"/>
      <c r="F7" s="15"/>
      <c r="G7" s="15"/>
      <c r="H7" s="16"/>
    </row>
    <row r="8" customFormat="false" ht="15" hidden="false" customHeight="false" outlineLevel="0" collapsed="false">
      <c r="A8" s="12"/>
      <c r="B8" s="13"/>
      <c r="C8" s="13"/>
      <c r="D8" s="14"/>
      <c r="E8" s="13"/>
      <c r="F8" s="15"/>
      <c r="G8" s="15"/>
      <c r="H8" s="16"/>
    </row>
    <row r="9" customFormat="false" ht="15" hidden="false" customHeight="false" outlineLevel="0" collapsed="false">
      <c r="A9" s="12"/>
      <c r="B9" s="13"/>
      <c r="C9" s="13"/>
      <c r="D9" s="14"/>
      <c r="E9" s="13"/>
      <c r="F9" s="15"/>
      <c r="G9" s="15"/>
      <c r="H9" s="16"/>
    </row>
    <row r="10" customFormat="false" ht="15" hidden="false" customHeight="false" outlineLevel="0" collapsed="false">
      <c r="A10" s="12"/>
      <c r="B10" s="13"/>
      <c r="C10" s="13"/>
      <c r="D10" s="14"/>
      <c r="E10" s="13"/>
      <c r="F10" s="15"/>
      <c r="G10" s="15"/>
      <c r="H10" s="16"/>
    </row>
    <row r="11" customFormat="false" ht="15" hidden="false" customHeight="false" outlineLevel="0" collapsed="false">
      <c r="A11" s="12"/>
      <c r="B11" s="13"/>
      <c r="C11" s="13"/>
      <c r="D11" s="14"/>
      <c r="E11" s="13"/>
      <c r="F11" s="15"/>
      <c r="G11" s="15"/>
      <c r="H11" s="16"/>
    </row>
    <row r="12" customFormat="false" ht="15" hidden="false" customHeight="false" outlineLevel="0" collapsed="false">
      <c r="A12" s="12"/>
      <c r="B12" s="13"/>
      <c r="C12" s="13"/>
      <c r="D12" s="14"/>
      <c r="E12" s="13"/>
      <c r="F12" s="15"/>
      <c r="G12" s="15"/>
      <c r="H12" s="16"/>
    </row>
    <row r="13" customFormat="false" ht="15" hidden="false" customHeight="false" outlineLevel="0" collapsed="false">
      <c r="A13" s="12"/>
      <c r="B13" s="13"/>
      <c r="C13" s="13"/>
      <c r="D13" s="14"/>
      <c r="E13" s="13"/>
      <c r="F13" s="15"/>
      <c r="G13" s="15"/>
      <c r="H13" s="16"/>
    </row>
    <row r="14" customFormat="false" ht="15" hidden="false" customHeight="false" outlineLevel="0" collapsed="false">
      <c r="A14" s="12"/>
      <c r="B14" s="13"/>
      <c r="C14" s="13"/>
      <c r="D14" s="14"/>
      <c r="E14" s="13"/>
      <c r="F14" s="15"/>
      <c r="G14" s="15"/>
      <c r="H14" s="16"/>
    </row>
    <row r="15" customFormat="false" ht="15" hidden="false" customHeight="false" outlineLevel="0" collapsed="false">
      <c r="A15" s="12"/>
      <c r="B15" s="13"/>
      <c r="C15" s="13"/>
      <c r="D15" s="14"/>
      <c r="E15" s="13"/>
      <c r="F15" s="15"/>
      <c r="G15" s="15"/>
      <c r="H15" s="16"/>
    </row>
    <row r="16" customFormat="false" ht="15" hidden="false" customHeight="false" outlineLevel="0" collapsed="false">
      <c r="A16" s="12"/>
      <c r="B16" s="13"/>
      <c r="C16" s="13"/>
      <c r="D16" s="14"/>
      <c r="E16" s="13"/>
      <c r="F16" s="15"/>
      <c r="G16" s="15"/>
      <c r="H16" s="16"/>
    </row>
    <row r="17" customFormat="false" ht="15" hidden="false" customHeight="false" outlineLevel="0" collapsed="false">
      <c r="A17" s="12"/>
      <c r="B17" s="13"/>
      <c r="C17" s="13"/>
      <c r="D17" s="14"/>
      <c r="E17" s="13"/>
      <c r="F17" s="15"/>
      <c r="G17" s="15"/>
      <c r="H17" s="16"/>
    </row>
    <row r="18" customFormat="false" ht="15" hidden="false" customHeight="false" outlineLevel="0" collapsed="false">
      <c r="A18" s="12"/>
      <c r="B18" s="13"/>
      <c r="C18" s="13"/>
      <c r="D18" s="14"/>
      <c r="E18" s="13"/>
      <c r="F18" s="15"/>
      <c r="G18" s="15"/>
      <c r="H18" s="16"/>
    </row>
    <row r="19" customFormat="false" ht="15" hidden="false" customHeight="false" outlineLevel="0" collapsed="false">
      <c r="A19" s="12"/>
      <c r="B19" s="13"/>
      <c r="C19" s="13"/>
      <c r="D19" s="14"/>
      <c r="E19" s="13"/>
      <c r="F19" s="15"/>
      <c r="G19" s="15"/>
      <c r="H19" s="16"/>
    </row>
    <row r="20" customFormat="false" ht="15" hidden="false" customHeight="false" outlineLevel="0" collapsed="false">
      <c r="A20" s="12"/>
      <c r="B20" s="13"/>
      <c r="C20" s="13"/>
      <c r="D20" s="14"/>
      <c r="E20" s="13"/>
      <c r="F20" s="15"/>
      <c r="G20" s="15"/>
      <c r="H20" s="16"/>
    </row>
    <row r="21" customFormat="false" ht="15" hidden="false" customHeight="false" outlineLevel="0" collapsed="false">
      <c r="A21" s="12"/>
      <c r="B21" s="13"/>
      <c r="C21" s="13"/>
      <c r="D21" s="14"/>
      <c r="E21" s="13"/>
      <c r="F21" s="15"/>
      <c r="G21" s="15"/>
      <c r="H21" s="16"/>
    </row>
    <row r="22" customFormat="false" ht="15" hidden="false" customHeight="false" outlineLevel="0" collapsed="false">
      <c r="A22" s="12"/>
      <c r="B22" s="13"/>
      <c r="C22" s="13"/>
      <c r="D22" s="14"/>
      <c r="E22" s="13"/>
      <c r="F22" s="15"/>
      <c r="G22" s="15"/>
      <c r="H22" s="16"/>
    </row>
    <row r="23" customFormat="false" ht="15" hidden="false" customHeight="false" outlineLevel="0" collapsed="false">
      <c r="A23" s="12"/>
      <c r="B23" s="13"/>
      <c r="C23" s="13"/>
      <c r="D23" s="14"/>
      <c r="E23" s="13"/>
      <c r="F23" s="15"/>
      <c r="G23" s="15"/>
      <c r="H23" s="16"/>
    </row>
    <row r="24" customFormat="false" ht="15" hidden="false" customHeight="false" outlineLevel="0" collapsed="false">
      <c r="A24" s="12"/>
      <c r="B24" s="13"/>
      <c r="C24" s="13"/>
      <c r="D24" s="14"/>
      <c r="E24" s="13"/>
      <c r="F24" s="15"/>
      <c r="G24" s="15"/>
      <c r="H24" s="16"/>
    </row>
    <row r="25" customFormat="false" ht="15" hidden="false" customHeight="false" outlineLevel="0" collapsed="false">
      <c r="A25" s="12"/>
      <c r="B25" s="13"/>
      <c r="C25" s="13"/>
      <c r="D25" s="14"/>
      <c r="E25" s="13"/>
      <c r="F25" s="15"/>
      <c r="G25" s="15"/>
      <c r="H25" s="16"/>
    </row>
    <row r="26" customFormat="false" ht="15" hidden="false" customHeight="false" outlineLevel="0" collapsed="false">
      <c r="A26" s="12"/>
      <c r="B26" s="13"/>
      <c r="C26" s="13"/>
      <c r="D26" s="14"/>
      <c r="E26" s="13"/>
      <c r="F26" s="15"/>
      <c r="G26" s="15"/>
      <c r="H26" s="16"/>
    </row>
    <row r="27" customFormat="false" ht="15" hidden="false" customHeight="false" outlineLevel="0" collapsed="false">
      <c r="A27" s="12"/>
      <c r="B27" s="13"/>
      <c r="C27" s="13"/>
      <c r="D27" s="14"/>
      <c r="E27" s="13"/>
      <c r="F27" s="15"/>
      <c r="G27" s="15"/>
      <c r="H27" s="16"/>
    </row>
    <row r="28" customFormat="false" ht="15" hidden="false" customHeight="false" outlineLevel="0" collapsed="false">
      <c r="A28" s="12"/>
      <c r="B28" s="13"/>
      <c r="C28" s="13"/>
      <c r="D28" s="14"/>
      <c r="E28" s="13"/>
      <c r="F28" s="15"/>
      <c r="G28" s="15"/>
      <c r="H28" s="16"/>
    </row>
    <row r="29" customFormat="false" ht="15" hidden="false" customHeight="false" outlineLevel="0" collapsed="false">
      <c r="A29" s="17"/>
      <c r="B29" s="18"/>
      <c r="C29" s="18"/>
      <c r="D29" s="19"/>
      <c r="E29" s="18"/>
      <c r="F29" s="20"/>
      <c r="G29" s="20"/>
      <c r="H29" s="21"/>
    </row>
  </sheetData>
  <mergeCells count="2">
    <mergeCell ref="A1:H1"/>
    <mergeCell ref="A2:H2"/>
  </mergeCells>
  <printOptions horizontalCentered="1"/>
  <pageMargins left="0.25" right="0.25" top="0.5" bottom="0.5" header="0.2" footer="0.2"/>
  <pageSetup paperSize="1" orientation="landscape" fitToWidth="1" fitToHeight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1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24"/>
  </cols>
  <sheetData>
    <row r="1" customFormat="false" ht="28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34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28.35" hidden="false" customHeight="false" outlineLevel="0" collapsed="false">
      <c r="A4" s="4" t="s">
        <v>27</v>
      </c>
      <c r="B4" s="4" t="s">
        <v>35</v>
      </c>
      <c r="C4" s="4" t="s">
        <v>36</v>
      </c>
      <c r="D4" s="4" t="s">
        <v>37</v>
      </c>
      <c r="E4" s="4" t="s">
        <v>38</v>
      </c>
      <c r="F4" s="3"/>
      <c r="G4" s="3"/>
      <c r="H4" s="3"/>
    </row>
    <row r="5" customFormat="false" ht="15" hidden="false" customHeight="false" outlineLevel="0" collapsed="false">
      <c r="A5" s="5"/>
      <c r="B5" s="5"/>
      <c r="C5" s="5"/>
      <c r="D5" s="5"/>
      <c r="E5" s="5"/>
      <c r="F5" s="3"/>
      <c r="G5" s="3"/>
      <c r="H5" s="3"/>
    </row>
    <row r="6" customFormat="false" ht="15" hidden="false" customHeight="false" outlineLevel="0" collapsed="false">
      <c r="A6" s="5"/>
      <c r="B6" s="5"/>
      <c r="C6" s="5"/>
      <c r="D6" s="5"/>
      <c r="E6" s="5"/>
      <c r="F6" s="3"/>
      <c r="G6" s="3"/>
      <c r="H6" s="3"/>
    </row>
    <row r="7" customFormat="false" ht="15" hidden="false" customHeight="false" outlineLevel="0" collapsed="false">
      <c r="A7" s="5"/>
      <c r="B7" s="5"/>
      <c r="C7" s="5"/>
      <c r="D7" s="5"/>
      <c r="E7" s="5"/>
      <c r="F7" s="3"/>
      <c r="G7" s="3"/>
      <c r="H7" s="3"/>
    </row>
    <row r="8" customFormat="false" ht="15" hidden="false" customHeight="false" outlineLevel="0" collapsed="false">
      <c r="A8" s="5"/>
      <c r="B8" s="5"/>
      <c r="C8" s="5"/>
      <c r="D8" s="5"/>
      <c r="E8" s="5"/>
      <c r="F8" s="3"/>
      <c r="G8" s="3"/>
      <c r="H8" s="3"/>
    </row>
    <row r="9" customFormat="false" ht="15" hidden="false" customHeight="false" outlineLevel="0" collapsed="false">
      <c r="A9" s="5"/>
      <c r="B9" s="5"/>
      <c r="C9" s="5"/>
      <c r="D9" s="5"/>
      <c r="E9" s="5"/>
      <c r="F9" s="3"/>
      <c r="G9" s="3"/>
      <c r="H9" s="3"/>
    </row>
    <row r="10" customFormat="false" ht="15" hidden="false" customHeight="false" outlineLevel="0" collapsed="false">
      <c r="A10" s="5"/>
      <c r="B10" s="5"/>
      <c r="C10" s="5"/>
      <c r="D10" s="5"/>
      <c r="E10" s="5"/>
      <c r="F10" s="3"/>
      <c r="G10" s="3"/>
      <c r="H10" s="3"/>
    </row>
    <row r="11" customFormat="false" ht="15" hidden="false" customHeight="false" outlineLevel="0" collapsed="false">
      <c r="A11" s="5"/>
      <c r="B11" s="5"/>
      <c r="C11" s="5"/>
      <c r="D11" s="5"/>
      <c r="E11" s="5"/>
      <c r="F11" s="3"/>
      <c r="G11" s="3"/>
      <c r="H11" s="3"/>
    </row>
    <row r="12" customFormat="false" ht="15" hidden="false" customHeight="false" outlineLevel="0" collapsed="false">
      <c r="A12" s="5"/>
      <c r="B12" s="5"/>
      <c r="C12" s="5"/>
      <c r="D12" s="5"/>
      <c r="E12" s="5"/>
      <c r="F12" s="3"/>
      <c r="G12" s="3"/>
      <c r="H12" s="3"/>
    </row>
    <row r="13" customFormat="false" ht="15" hidden="false" customHeight="false" outlineLevel="0" collapsed="false">
      <c r="A13" s="5"/>
      <c r="B13" s="5"/>
      <c r="C13" s="5"/>
      <c r="D13" s="5"/>
      <c r="E13" s="5"/>
      <c r="F13" s="3"/>
      <c r="G13" s="3"/>
      <c r="H13" s="3"/>
    </row>
    <row r="14" customFormat="false" ht="15" hidden="false" customHeight="false" outlineLevel="0" collapsed="false">
      <c r="A14" s="5"/>
      <c r="B14" s="5"/>
      <c r="C14" s="5"/>
      <c r="D14" s="5"/>
      <c r="E14" s="5"/>
      <c r="F14" s="3"/>
      <c r="G14" s="3"/>
      <c r="H14" s="3"/>
    </row>
    <row r="15" customFormat="false" ht="15" hidden="false" customHeight="false" outlineLevel="0" collapsed="false">
      <c r="A15" s="5"/>
      <c r="B15" s="5"/>
      <c r="C15" s="5"/>
      <c r="D15" s="5"/>
      <c r="E15" s="5"/>
      <c r="F15" s="3"/>
      <c r="G15" s="3"/>
      <c r="H15" s="3"/>
    </row>
    <row r="16" customFormat="false" ht="15" hidden="false" customHeight="false" outlineLevel="0" collapsed="false">
      <c r="A16" s="5"/>
      <c r="B16" s="5"/>
      <c r="C16" s="5"/>
      <c r="D16" s="5"/>
      <c r="E16" s="5"/>
      <c r="F16" s="3"/>
      <c r="G16" s="3"/>
      <c r="H16" s="3"/>
    </row>
    <row r="17" customFormat="false" ht="15" hidden="false" customHeight="false" outlineLevel="0" collapsed="false">
      <c r="A17" s="5"/>
      <c r="B17" s="5"/>
      <c r="C17" s="5"/>
      <c r="D17" s="5"/>
      <c r="E17" s="5"/>
      <c r="F17" s="3"/>
      <c r="G17" s="3"/>
      <c r="H17" s="3"/>
    </row>
    <row r="18" customFormat="false" ht="15" hidden="false" customHeight="false" outlineLevel="0" collapsed="false">
      <c r="A18" s="5"/>
      <c r="B18" s="5"/>
      <c r="C18" s="5"/>
      <c r="D18" s="5"/>
      <c r="E18" s="5"/>
      <c r="F18" s="3"/>
      <c r="G18" s="3"/>
      <c r="H18" s="3"/>
    </row>
    <row r="19" customFormat="false" ht="15" hidden="false" customHeight="false" outlineLevel="0" collapsed="false">
      <c r="A19" s="5"/>
      <c r="B19" s="5"/>
      <c r="C19" s="5"/>
      <c r="D19" s="5"/>
      <c r="E19" s="5"/>
      <c r="F19" s="3"/>
      <c r="G19" s="3"/>
      <c r="H19" s="3"/>
    </row>
    <row r="20" customFormat="false" ht="15" hidden="false" customHeight="false" outlineLevel="0" collapsed="false">
      <c r="A20" s="5"/>
      <c r="B20" s="5"/>
      <c r="C20" s="5"/>
      <c r="D20" s="5"/>
      <c r="E20" s="5"/>
      <c r="F20" s="3"/>
      <c r="G20" s="3"/>
      <c r="H20" s="3"/>
    </row>
    <row r="21" customFormat="false" ht="15" hidden="false" customHeight="false" outlineLevel="0" collapsed="false">
      <c r="A21" s="5"/>
      <c r="B21" s="5"/>
      <c r="C21" s="5"/>
      <c r="D21" s="5"/>
      <c r="E21" s="5"/>
      <c r="F21" s="3"/>
      <c r="G21" s="3"/>
      <c r="H21" s="3"/>
    </row>
    <row r="22" customFormat="false" ht="15" hidden="false" customHeight="false" outlineLevel="0" collapsed="false">
      <c r="A22" s="5"/>
      <c r="B22" s="5"/>
      <c r="C22" s="5"/>
      <c r="D22" s="5"/>
      <c r="E22" s="5"/>
      <c r="F22" s="3"/>
      <c r="G22" s="3"/>
      <c r="H22" s="3"/>
    </row>
    <row r="23" customFormat="false" ht="15" hidden="false" customHeight="false" outlineLevel="0" collapsed="false">
      <c r="A23" s="5"/>
      <c r="B23" s="5"/>
      <c r="C23" s="5"/>
      <c r="D23" s="5"/>
      <c r="E23" s="5"/>
      <c r="F23" s="3"/>
      <c r="G23" s="3"/>
      <c r="H23" s="3"/>
    </row>
    <row r="24" customFormat="false" ht="15" hidden="false" customHeight="false" outlineLevel="0" collapsed="false">
      <c r="A24" s="5"/>
      <c r="B24" s="5"/>
      <c r="C24" s="5"/>
      <c r="D24" s="5"/>
      <c r="E24" s="5"/>
      <c r="F24" s="3"/>
      <c r="G24" s="3"/>
      <c r="H24" s="3"/>
    </row>
    <row r="25" customFormat="false" ht="15" hidden="false" customHeight="false" outlineLevel="0" collapsed="false">
      <c r="A25" s="5"/>
      <c r="B25" s="5"/>
      <c r="C25" s="5"/>
      <c r="D25" s="5"/>
      <c r="E25" s="5"/>
      <c r="F25" s="3"/>
      <c r="G25" s="3"/>
      <c r="H25" s="3"/>
    </row>
    <row r="26" customFormat="false" ht="15" hidden="false" customHeight="false" outlineLevel="0" collapsed="false">
      <c r="A26" s="5"/>
      <c r="B26" s="5"/>
      <c r="C26" s="5"/>
      <c r="D26" s="5"/>
      <c r="E26" s="5"/>
      <c r="F26" s="3"/>
      <c r="G26" s="3"/>
      <c r="H26" s="3"/>
    </row>
    <row r="27" customFormat="false" ht="15" hidden="false" customHeight="false" outlineLevel="0" collapsed="false">
      <c r="A27" s="5"/>
      <c r="B27" s="5"/>
      <c r="C27" s="5"/>
      <c r="D27" s="5"/>
      <c r="E27" s="5"/>
      <c r="F27" s="3"/>
      <c r="G27" s="3"/>
      <c r="H27" s="3"/>
    </row>
    <row r="28" customFormat="false" ht="15" hidden="false" customHeight="false" outlineLevel="0" collapsed="false">
      <c r="A28" s="5"/>
      <c r="B28" s="5"/>
      <c r="C28" s="5"/>
      <c r="D28" s="5"/>
      <c r="E28" s="5"/>
      <c r="F28" s="3"/>
      <c r="G28" s="3"/>
      <c r="H28" s="3"/>
    </row>
    <row r="29" customFormat="false" ht="15" hidden="false" customHeight="false" outlineLevel="0" collapsed="false">
      <c r="A29" s="5"/>
      <c r="B29" s="5"/>
      <c r="C29" s="5"/>
      <c r="D29" s="5"/>
      <c r="E29" s="5"/>
      <c r="F29" s="3"/>
      <c r="G29" s="3"/>
      <c r="H29" s="3"/>
    </row>
  </sheetData>
  <mergeCells count="2">
    <mergeCell ref="A1:H1"/>
    <mergeCell ref="A2:H2"/>
  </mergeCells>
  <dataValidations count="1">
    <dataValidation allowBlank="false" errorStyle="stop" operator="between" showDropDown="false" showErrorMessage="false" showInputMessage="false" sqref="E5:E29" type="list">
      <formula1>"Yes,No"</formula1>
      <formula2>0</formula2>
    </dataValidation>
  </dataValidations>
  <printOptions horizontalCentered="1"/>
  <pageMargins left="0.25" right="0.25" top="0.5" bottom="0.5" header="0.2" footer="0.2"/>
  <pageSetup paperSize="1" orientation="portrait" fitToWidth="1" fitToHeight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1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18"/>
    <col collapsed="false" customWidth="true" hidden="false" outlineLevel="0" max="8" min="8" style="0" width="38"/>
  </cols>
  <sheetData>
    <row r="1" customFormat="false" ht="28" hidden="false" customHeight="true" outlineLevel="0" collapsed="false">
      <c r="A1" s="1" t="s">
        <v>39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40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27</v>
      </c>
      <c r="B4" s="4" t="s">
        <v>35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15</v>
      </c>
      <c r="H4" s="4" t="s">
        <v>45</v>
      </c>
    </row>
    <row r="5" customFormat="false" ht="15" hidden="false" customHeight="false" outlineLevel="0" collapsed="false">
      <c r="A5" s="5"/>
      <c r="B5" s="5"/>
      <c r="C5" s="22" t="str">
        <f aca="false">IF(A5="","",SUMIFS(Source_Data!$F$5:$F$29,Source_Data!$C$5:$C$29,A5)-SUMIFS(Source_Data!$G$5:$G$29,Source_Data!$C$5:$C$29,A5))</f>
        <v/>
      </c>
      <c r="D5" s="23"/>
      <c r="E5" s="22" t="str">
        <f aca="false">IF(A5="","",C5-D5)</f>
        <v/>
      </c>
      <c r="F5" s="23"/>
      <c r="G5" s="3" t="str">
        <f aca="false">IF(A5="","",IF(OR(D5="",F5=""),"NOT READY",IF(ABS(E5)&lt;=F5,"PASS","REVIEW")))</f>
        <v/>
      </c>
      <c r="H5" s="5"/>
    </row>
    <row r="6" customFormat="false" ht="15" hidden="false" customHeight="false" outlineLevel="0" collapsed="false">
      <c r="A6" s="5"/>
      <c r="B6" s="5"/>
      <c r="C6" s="22" t="str">
        <f aca="false">IF(A6="","",SUMIFS(Source_Data!$F$5:$F$29,Source_Data!$C$5:$C$29,A6)-SUMIFS(Source_Data!$G$5:$G$29,Source_Data!$C$5:$C$29,A6))</f>
        <v/>
      </c>
      <c r="D6" s="23"/>
      <c r="E6" s="22" t="str">
        <f aca="false">IF(A6="","",C6-D6)</f>
        <v/>
      </c>
      <c r="F6" s="23"/>
      <c r="G6" s="3" t="str">
        <f aca="false">IF(A6="","",IF(OR(D6="",F6=""),"NOT READY",IF(ABS(E6)&lt;=F6,"PASS","REVIEW")))</f>
        <v/>
      </c>
      <c r="H6" s="5"/>
    </row>
    <row r="7" customFormat="false" ht="15" hidden="false" customHeight="false" outlineLevel="0" collapsed="false">
      <c r="A7" s="5"/>
      <c r="B7" s="5"/>
      <c r="C7" s="22" t="str">
        <f aca="false">IF(A7="","",SUMIFS(Source_Data!$F$5:$F$29,Source_Data!$C$5:$C$29,A7)-SUMIFS(Source_Data!$G$5:$G$29,Source_Data!$C$5:$C$29,A7))</f>
        <v/>
      </c>
      <c r="D7" s="23"/>
      <c r="E7" s="22" t="str">
        <f aca="false">IF(A7="","",C7-D7)</f>
        <v/>
      </c>
      <c r="F7" s="23"/>
      <c r="G7" s="3" t="str">
        <f aca="false">IF(A7="","",IF(OR(D7="",F7=""),"NOT READY",IF(ABS(E7)&lt;=F7,"PASS","REVIEW")))</f>
        <v/>
      </c>
      <c r="H7" s="5"/>
    </row>
    <row r="8" customFormat="false" ht="15" hidden="false" customHeight="false" outlineLevel="0" collapsed="false">
      <c r="A8" s="5"/>
      <c r="B8" s="5"/>
      <c r="C8" s="22" t="str">
        <f aca="false">IF(A8="","",SUMIFS(Source_Data!$F$5:$F$29,Source_Data!$C$5:$C$29,A8)-SUMIFS(Source_Data!$G$5:$G$29,Source_Data!$C$5:$C$29,A8))</f>
        <v/>
      </c>
      <c r="D8" s="23"/>
      <c r="E8" s="22" t="str">
        <f aca="false">IF(A8="","",C8-D8)</f>
        <v/>
      </c>
      <c r="F8" s="23"/>
      <c r="G8" s="3" t="str">
        <f aca="false">IF(A8="","",IF(OR(D8="",F8=""),"NOT READY",IF(ABS(E8)&lt;=F8,"PASS","REVIEW")))</f>
        <v/>
      </c>
      <c r="H8" s="5"/>
    </row>
    <row r="9" customFormat="false" ht="15" hidden="false" customHeight="false" outlineLevel="0" collapsed="false">
      <c r="A9" s="5"/>
      <c r="B9" s="5"/>
      <c r="C9" s="22" t="str">
        <f aca="false">IF(A9="","",SUMIFS(Source_Data!$F$5:$F$29,Source_Data!$C$5:$C$29,A9)-SUMIFS(Source_Data!$G$5:$G$29,Source_Data!$C$5:$C$29,A9))</f>
        <v/>
      </c>
      <c r="D9" s="23"/>
      <c r="E9" s="22" t="str">
        <f aca="false">IF(A9="","",C9-D9)</f>
        <v/>
      </c>
      <c r="F9" s="23"/>
      <c r="G9" s="3" t="str">
        <f aca="false">IF(A9="","",IF(OR(D9="",F9=""),"NOT READY",IF(ABS(E9)&lt;=F9,"PASS","REVIEW")))</f>
        <v/>
      </c>
      <c r="H9" s="5"/>
    </row>
    <row r="10" customFormat="false" ht="15" hidden="false" customHeight="false" outlineLevel="0" collapsed="false">
      <c r="A10" s="5"/>
      <c r="B10" s="5"/>
      <c r="C10" s="22" t="str">
        <f aca="false">IF(A10="","",SUMIFS(Source_Data!$F$5:$F$29,Source_Data!$C$5:$C$29,A10)-SUMIFS(Source_Data!$G$5:$G$29,Source_Data!$C$5:$C$29,A10))</f>
        <v/>
      </c>
      <c r="D10" s="23"/>
      <c r="E10" s="22" t="str">
        <f aca="false">IF(A10="","",C10-D10)</f>
        <v/>
      </c>
      <c r="F10" s="23"/>
      <c r="G10" s="3" t="str">
        <f aca="false">IF(A10="","",IF(OR(D10="",F10=""),"NOT READY",IF(ABS(E10)&lt;=F10,"PASS","REVIEW")))</f>
        <v/>
      </c>
      <c r="H10" s="5"/>
    </row>
    <row r="11" customFormat="false" ht="15" hidden="false" customHeight="false" outlineLevel="0" collapsed="false">
      <c r="A11" s="5"/>
      <c r="B11" s="5"/>
      <c r="C11" s="22" t="str">
        <f aca="false">IF(A11="","",SUMIFS(Source_Data!$F$5:$F$29,Source_Data!$C$5:$C$29,A11)-SUMIFS(Source_Data!$G$5:$G$29,Source_Data!$C$5:$C$29,A11))</f>
        <v/>
      </c>
      <c r="D11" s="23"/>
      <c r="E11" s="22" t="str">
        <f aca="false">IF(A11="","",C11-D11)</f>
        <v/>
      </c>
      <c r="F11" s="23"/>
      <c r="G11" s="3" t="str">
        <f aca="false">IF(A11="","",IF(OR(D11="",F11=""),"NOT READY",IF(ABS(E11)&lt;=F11,"PASS","REVIEW")))</f>
        <v/>
      </c>
      <c r="H11" s="5"/>
    </row>
    <row r="12" customFormat="false" ht="15" hidden="false" customHeight="false" outlineLevel="0" collapsed="false">
      <c r="A12" s="5"/>
      <c r="B12" s="5"/>
      <c r="C12" s="22" t="str">
        <f aca="false">IF(A12="","",SUMIFS(Source_Data!$F$5:$F$29,Source_Data!$C$5:$C$29,A12)-SUMIFS(Source_Data!$G$5:$G$29,Source_Data!$C$5:$C$29,A12))</f>
        <v/>
      </c>
      <c r="D12" s="23"/>
      <c r="E12" s="22" t="str">
        <f aca="false">IF(A12="","",C12-D12)</f>
        <v/>
      </c>
      <c r="F12" s="23"/>
      <c r="G12" s="3" t="str">
        <f aca="false">IF(A12="","",IF(OR(D12="",F12=""),"NOT READY",IF(ABS(E12)&lt;=F12,"PASS","REVIEW")))</f>
        <v/>
      </c>
      <c r="H12" s="5"/>
    </row>
    <row r="13" customFormat="false" ht="15" hidden="false" customHeight="false" outlineLevel="0" collapsed="false">
      <c r="A13" s="5"/>
      <c r="B13" s="5"/>
      <c r="C13" s="22" t="str">
        <f aca="false">IF(A13="","",SUMIFS(Source_Data!$F$5:$F$29,Source_Data!$C$5:$C$29,A13)-SUMIFS(Source_Data!$G$5:$G$29,Source_Data!$C$5:$C$29,A13))</f>
        <v/>
      </c>
      <c r="D13" s="23"/>
      <c r="E13" s="22" t="str">
        <f aca="false">IF(A13="","",C13-D13)</f>
        <v/>
      </c>
      <c r="F13" s="23"/>
      <c r="G13" s="3" t="str">
        <f aca="false">IF(A13="","",IF(OR(D13="",F13=""),"NOT READY",IF(ABS(E13)&lt;=F13,"PASS","REVIEW")))</f>
        <v/>
      </c>
      <c r="H13" s="5"/>
    </row>
    <row r="14" customFormat="false" ht="15" hidden="false" customHeight="false" outlineLevel="0" collapsed="false">
      <c r="A14" s="5"/>
      <c r="B14" s="5"/>
      <c r="C14" s="22" t="str">
        <f aca="false">IF(A14="","",SUMIFS(Source_Data!$F$5:$F$29,Source_Data!$C$5:$C$29,A14)-SUMIFS(Source_Data!$G$5:$G$29,Source_Data!$C$5:$C$29,A14))</f>
        <v/>
      </c>
      <c r="D14" s="23"/>
      <c r="E14" s="22" t="str">
        <f aca="false">IF(A14="","",C14-D14)</f>
        <v/>
      </c>
      <c r="F14" s="23"/>
      <c r="G14" s="3" t="str">
        <f aca="false">IF(A14="","",IF(OR(D14="",F14=""),"NOT READY",IF(ABS(E14)&lt;=F14,"PASS","REVIEW")))</f>
        <v/>
      </c>
      <c r="H14" s="5"/>
    </row>
    <row r="15" customFormat="false" ht="15" hidden="false" customHeight="false" outlineLevel="0" collapsed="false">
      <c r="A15" s="5"/>
      <c r="B15" s="5"/>
      <c r="C15" s="22" t="str">
        <f aca="false">IF(A15="","",SUMIFS(Source_Data!$F$5:$F$29,Source_Data!$C$5:$C$29,A15)-SUMIFS(Source_Data!$G$5:$G$29,Source_Data!$C$5:$C$29,A15))</f>
        <v/>
      </c>
      <c r="D15" s="23"/>
      <c r="E15" s="22" t="str">
        <f aca="false">IF(A15="","",C15-D15)</f>
        <v/>
      </c>
      <c r="F15" s="23"/>
      <c r="G15" s="3" t="str">
        <f aca="false">IF(A15="","",IF(OR(D15="",F15=""),"NOT READY",IF(ABS(E15)&lt;=F15,"PASS","REVIEW")))</f>
        <v/>
      </c>
      <c r="H15" s="5"/>
    </row>
    <row r="16" customFormat="false" ht="15" hidden="false" customHeight="false" outlineLevel="0" collapsed="false">
      <c r="A16" s="5"/>
      <c r="B16" s="5"/>
      <c r="C16" s="22" t="str">
        <f aca="false">IF(A16="","",SUMIFS(Source_Data!$F$5:$F$29,Source_Data!$C$5:$C$29,A16)-SUMIFS(Source_Data!$G$5:$G$29,Source_Data!$C$5:$C$29,A16))</f>
        <v/>
      </c>
      <c r="D16" s="23"/>
      <c r="E16" s="22" t="str">
        <f aca="false">IF(A16="","",C16-D16)</f>
        <v/>
      </c>
      <c r="F16" s="23"/>
      <c r="G16" s="3" t="str">
        <f aca="false">IF(A16="","",IF(OR(D16="",F16=""),"NOT READY",IF(ABS(E16)&lt;=F16,"PASS","REVIEW")))</f>
        <v/>
      </c>
      <c r="H16" s="5"/>
    </row>
    <row r="17" customFormat="false" ht="15" hidden="false" customHeight="false" outlineLevel="0" collapsed="false">
      <c r="A17" s="5"/>
      <c r="B17" s="5"/>
      <c r="C17" s="22" t="str">
        <f aca="false">IF(A17="","",SUMIFS(Source_Data!$F$5:$F$29,Source_Data!$C$5:$C$29,A17)-SUMIFS(Source_Data!$G$5:$G$29,Source_Data!$C$5:$C$29,A17))</f>
        <v/>
      </c>
      <c r="D17" s="23"/>
      <c r="E17" s="22" t="str">
        <f aca="false">IF(A17="","",C17-D17)</f>
        <v/>
      </c>
      <c r="F17" s="23"/>
      <c r="G17" s="3" t="str">
        <f aca="false">IF(A17="","",IF(OR(D17="",F17=""),"NOT READY",IF(ABS(E17)&lt;=F17,"PASS","REVIEW")))</f>
        <v/>
      </c>
      <c r="H17" s="5"/>
    </row>
    <row r="18" customFormat="false" ht="15" hidden="false" customHeight="false" outlineLevel="0" collapsed="false">
      <c r="A18" s="5"/>
      <c r="B18" s="5"/>
      <c r="C18" s="22" t="str">
        <f aca="false">IF(A18="","",SUMIFS(Source_Data!$F$5:$F$29,Source_Data!$C$5:$C$29,A18)-SUMIFS(Source_Data!$G$5:$G$29,Source_Data!$C$5:$C$29,A18))</f>
        <v/>
      </c>
      <c r="D18" s="23"/>
      <c r="E18" s="22" t="str">
        <f aca="false">IF(A18="","",C18-D18)</f>
        <v/>
      </c>
      <c r="F18" s="23"/>
      <c r="G18" s="3" t="str">
        <f aca="false">IF(A18="","",IF(OR(D18="",F18=""),"NOT READY",IF(ABS(E18)&lt;=F18,"PASS","REVIEW")))</f>
        <v/>
      </c>
      <c r="H18" s="5"/>
    </row>
    <row r="19" customFormat="false" ht="15" hidden="false" customHeight="false" outlineLevel="0" collapsed="false">
      <c r="A19" s="5"/>
      <c r="B19" s="5"/>
      <c r="C19" s="22" t="str">
        <f aca="false">IF(A19="","",SUMIFS(Source_Data!$F$5:$F$29,Source_Data!$C$5:$C$29,A19)-SUMIFS(Source_Data!$G$5:$G$29,Source_Data!$C$5:$C$29,A19))</f>
        <v/>
      </c>
      <c r="D19" s="23"/>
      <c r="E19" s="22" t="str">
        <f aca="false">IF(A19="","",C19-D19)</f>
        <v/>
      </c>
      <c r="F19" s="23"/>
      <c r="G19" s="3" t="str">
        <f aca="false">IF(A19="","",IF(OR(D19="",F19=""),"NOT READY",IF(ABS(E19)&lt;=F19,"PASS","REVIEW")))</f>
        <v/>
      </c>
      <c r="H19" s="5"/>
    </row>
    <row r="20" customFormat="false" ht="15" hidden="false" customHeight="false" outlineLevel="0" collapsed="false">
      <c r="A20" s="5"/>
      <c r="B20" s="5"/>
      <c r="C20" s="22" t="str">
        <f aca="false">IF(A20="","",SUMIFS(Source_Data!$F$5:$F$29,Source_Data!$C$5:$C$29,A20)-SUMIFS(Source_Data!$G$5:$G$29,Source_Data!$C$5:$C$29,A20))</f>
        <v/>
      </c>
      <c r="D20" s="23"/>
      <c r="E20" s="22" t="str">
        <f aca="false">IF(A20="","",C20-D20)</f>
        <v/>
      </c>
      <c r="F20" s="23"/>
      <c r="G20" s="3" t="str">
        <f aca="false">IF(A20="","",IF(OR(D20="",F20=""),"NOT READY",IF(ABS(E20)&lt;=F20,"PASS","REVIEW")))</f>
        <v/>
      </c>
      <c r="H20" s="5"/>
    </row>
    <row r="21" customFormat="false" ht="15" hidden="false" customHeight="false" outlineLevel="0" collapsed="false">
      <c r="A21" s="5"/>
      <c r="B21" s="5"/>
      <c r="C21" s="22" t="str">
        <f aca="false">IF(A21="","",SUMIFS(Source_Data!$F$5:$F$29,Source_Data!$C$5:$C$29,A21)-SUMIFS(Source_Data!$G$5:$G$29,Source_Data!$C$5:$C$29,A21))</f>
        <v/>
      </c>
      <c r="D21" s="23"/>
      <c r="E21" s="22" t="str">
        <f aca="false">IF(A21="","",C21-D21)</f>
        <v/>
      </c>
      <c r="F21" s="23"/>
      <c r="G21" s="3" t="str">
        <f aca="false">IF(A21="","",IF(OR(D21="",F21=""),"NOT READY",IF(ABS(E21)&lt;=F21,"PASS","REVIEW")))</f>
        <v/>
      </c>
      <c r="H21" s="5"/>
    </row>
    <row r="22" customFormat="false" ht="15" hidden="false" customHeight="false" outlineLevel="0" collapsed="false">
      <c r="A22" s="5"/>
      <c r="B22" s="5"/>
      <c r="C22" s="22" t="str">
        <f aca="false">IF(A22="","",SUMIFS(Source_Data!$F$5:$F$29,Source_Data!$C$5:$C$29,A22)-SUMIFS(Source_Data!$G$5:$G$29,Source_Data!$C$5:$C$29,A22))</f>
        <v/>
      </c>
      <c r="D22" s="23"/>
      <c r="E22" s="22" t="str">
        <f aca="false">IF(A22="","",C22-D22)</f>
        <v/>
      </c>
      <c r="F22" s="23"/>
      <c r="G22" s="3" t="str">
        <f aca="false">IF(A22="","",IF(OR(D22="",F22=""),"NOT READY",IF(ABS(E22)&lt;=F22,"PASS","REVIEW")))</f>
        <v/>
      </c>
      <c r="H22" s="5"/>
    </row>
    <row r="23" customFormat="false" ht="15" hidden="false" customHeight="false" outlineLevel="0" collapsed="false">
      <c r="A23" s="5"/>
      <c r="B23" s="5"/>
      <c r="C23" s="22" t="str">
        <f aca="false">IF(A23="","",SUMIFS(Source_Data!$F$5:$F$29,Source_Data!$C$5:$C$29,A23)-SUMIFS(Source_Data!$G$5:$G$29,Source_Data!$C$5:$C$29,A23))</f>
        <v/>
      </c>
      <c r="D23" s="23"/>
      <c r="E23" s="22" t="str">
        <f aca="false">IF(A23="","",C23-D23)</f>
        <v/>
      </c>
      <c r="F23" s="23"/>
      <c r="G23" s="3" t="str">
        <f aca="false">IF(A23="","",IF(OR(D23="",F23=""),"NOT READY",IF(ABS(E23)&lt;=F23,"PASS","REVIEW")))</f>
        <v/>
      </c>
      <c r="H23" s="5"/>
    </row>
    <row r="24" customFormat="false" ht="15" hidden="false" customHeight="false" outlineLevel="0" collapsed="false">
      <c r="A24" s="5"/>
      <c r="B24" s="5"/>
      <c r="C24" s="22" t="str">
        <f aca="false">IF(A24="","",SUMIFS(Source_Data!$F$5:$F$29,Source_Data!$C$5:$C$29,A24)-SUMIFS(Source_Data!$G$5:$G$29,Source_Data!$C$5:$C$29,A24))</f>
        <v/>
      </c>
      <c r="D24" s="23"/>
      <c r="E24" s="22" t="str">
        <f aca="false">IF(A24="","",C24-D24)</f>
        <v/>
      </c>
      <c r="F24" s="23"/>
      <c r="G24" s="3" t="str">
        <f aca="false">IF(A24="","",IF(OR(D24="",F24=""),"NOT READY",IF(ABS(E24)&lt;=F24,"PASS","REVIEW")))</f>
        <v/>
      </c>
      <c r="H24" s="5"/>
    </row>
  </sheetData>
  <mergeCells count="2">
    <mergeCell ref="A1:H1"/>
    <mergeCell ref="A2:H2"/>
  </mergeCells>
  <conditionalFormatting sqref="G5:G24">
    <cfRule type="containsText" priority="2" operator="containsText" aboveAverage="0" equalAverage="0" bottom="0" percent="0" rank="0" text="PASS" dxfId="4">
      <formula>NOT(ISERROR(SEARCH("PASS",G5)))</formula>
    </cfRule>
    <cfRule type="containsText" priority="3" operator="containsText" aboveAverage="0" equalAverage="0" bottom="0" percent="0" rank="0" text="REVIEW" dxfId="5">
      <formula>NOT(ISERROR(SEARCH("REVIEW",G5)))</formula>
    </cfRule>
  </conditionalFormatting>
  <printOptions horizontalCentered="1"/>
  <pageMargins left="0.25" right="0.25" top="0.5" bottom="0.5" header="0.2" footer="0.2"/>
  <pageSetup paperSize="1" orientation="landscape" fitToWidth="1" fitToHeight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1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32"/>
    <col collapsed="false" customWidth="true" hidden="false" outlineLevel="0" max="8" min="4" style="0" width="20"/>
  </cols>
  <sheetData>
    <row r="1" customFormat="false" ht="28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47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48</v>
      </c>
      <c r="B4" s="4" t="s">
        <v>27</v>
      </c>
      <c r="C4" s="4" t="s">
        <v>29</v>
      </c>
      <c r="D4" s="4" t="s">
        <v>30</v>
      </c>
      <c r="E4" s="4" t="s">
        <v>31</v>
      </c>
      <c r="F4" s="4" t="s">
        <v>49</v>
      </c>
      <c r="G4" s="4" t="s">
        <v>50</v>
      </c>
      <c r="H4" s="4" t="s">
        <v>51</v>
      </c>
    </row>
    <row r="5" customFormat="false" ht="15" hidden="false" customHeight="false" outlineLevel="0" collapsed="false">
      <c r="A5" s="5"/>
      <c r="B5" s="5"/>
      <c r="C5" s="5"/>
      <c r="D5" s="23"/>
      <c r="E5" s="23"/>
      <c r="F5" s="5"/>
      <c r="G5" s="5"/>
      <c r="H5" s="5"/>
    </row>
    <row r="6" customFormat="false" ht="15" hidden="false" customHeight="false" outlineLevel="0" collapsed="false">
      <c r="A6" s="5"/>
      <c r="B6" s="5"/>
      <c r="C6" s="5"/>
      <c r="D6" s="23"/>
      <c r="E6" s="23"/>
      <c r="F6" s="5"/>
      <c r="G6" s="5"/>
      <c r="H6" s="5"/>
    </row>
    <row r="7" customFormat="false" ht="15" hidden="false" customHeight="false" outlineLevel="0" collapsed="false">
      <c r="A7" s="5"/>
      <c r="B7" s="5"/>
      <c r="C7" s="5"/>
      <c r="D7" s="23"/>
      <c r="E7" s="23"/>
      <c r="F7" s="5"/>
      <c r="G7" s="5"/>
      <c r="H7" s="5"/>
    </row>
    <row r="8" customFormat="false" ht="15" hidden="false" customHeight="false" outlineLevel="0" collapsed="false">
      <c r="A8" s="5"/>
      <c r="B8" s="5"/>
      <c r="C8" s="5"/>
      <c r="D8" s="23"/>
      <c r="E8" s="23"/>
      <c r="F8" s="5"/>
      <c r="G8" s="5"/>
      <c r="H8" s="5"/>
    </row>
    <row r="9" customFormat="false" ht="15" hidden="false" customHeight="false" outlineLevel="0" collapsed="false">
      <c r="A9" s="5"/>
      <c r="B9" s="5"/>
      <c r="C9" s="5"/>
      <c r="D9" s="23"/>
      <c r="E9" s="23"/>
      <c r="F9" s="5"/>
      <c r="G9" s="5"/>
      <c r="H9" s="5"/>
    </row>
    <row r="10" customFormat="false" ht="15" hidden="false" customHeight="false" outlineLevel="0" collapsed="false">
      <c r="A10" s="5"/>
      <c r="B10" s="5"/>
      <c r="C10" s="5"/>
      <c r="D10" s="23"/>
      <c r="E10" s="23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23"/>
      <c r="E11" s="23"/>
      <c r="F11" s="5"/>
      <c r="G11" s="5"/>
      <c r="H11" s="5"/>
    </row>
    <row r="12" customFormat="false" ht="15" hidden="false" customHeight="false" outlineLevel="0" collapsed="false">
      <c r="A12" s="5"/>
      <c r="B12" s="5"/>
      <c r="C12" s="5"/>
      <c r="D12" s="23"/>
      <c r="E12" s="23"/>
      <c r="F12" s="5"/>
      <c r="G12" s="5"/>
      <c r="H12" s="5"/>
    </row>
    <row r="13" customFormat="false" ht="15" hidden="false" customHeight="false" outlineLevel="0" collapsed="false">
      <c r="A13" s="5"/>
      <c r="B13" s="5"/>
      <c r="C13" s="5"/>
      <c r="D13" s="23"/>
      <c r="E13" s="23"/>
      <c r="F13" s="5"/>
      <c r="G13" s="5"/>
      <c r="H13" s="5"/>
    </row>
    <row r="14" customFormat="false" ht="15" hidden="false" customHeight="false" outlineLevel="0" collapsed="false">
      <c r="A14" s="5"/>
      <c r="B14" s="5"/>
      <c r="C14" s="5"/>
      <c r="D14" s="23"/>
      <c r="E14" s="23"/>
      <c r="F14" s="5"/>
      <c r="G14" s="5"/>
      <c r="H14" s="5"/>
    </row>
    <row r="15" customFormat="false" ht="15" hidden="false" customHeight="false" outlineLevel="0" collapsed="false">
      <c r="A15" s="5"/>
      <c r="B15" s="5"/>
      <c r="C15" s="5"/>
      <c r="D15" s="23"/>
      <c r="E15" s="23"/>
      <c r="F15" s="5"/>
      <c r="G15" s="5"/>
      <c r="H15" s="5"/>
    </row>
    <row r="16" customFormat="false" ht="15" hidden="false" customHeight="false" outlineLevel="0" collapsed="false">
      <c r="A16" s="5"/>
      <c r="B16" s="5"/>
      <c r="C16" s="5"/>
      <c r="D16" s="23"/>
      <c r="E16" s="23"/>
      <c r="F16" s="5"/>
      <c r="G16" s="5"/>
      <c r="H16" s="5"/>
    </row>
    <row r="17" customFormat="false" ht="15" hidden="false" customHeight="false" outlineLevel="0" collapsed="false">
      <c r="A17" s="5"/>
      <c r="B17" s="5"/>
      <c r="C17" s="5"/>
      <c r="D17" s="23"/>
      <c r="E17" s="23"/>
      <c r="F17" s="5"/>
      <c r="G17" s="5"/>
      <c r="H17" s="5"/>
    </row>
    <row r="18" customFormat="false" ht="15" hidden="false" customHeight="false" outlineLevel="0" collapsed="false">
      <c r="A18" s="5"/>
      <c r="B18" s="5"/>
      <c r="C18" s="5"/>
      <c r="D18" s="23"/>
      <c r="E18" s="23"/>
      <c r="F18" s="5"/>
      <c r="G18" s="5"/>
      <c r="H18" s="5"/>
    </row>
    <row r="19" customFormat="false" ht="15" hidden="false" customHeight="false" outlineLevel="0" collapsed="false">
      <c r="A19" s="5"/>
      <c r="B19" s="5"/>
      <c r="C19" s="5"/>
      <c r="D19" s="23"/>
      <c r="E19" s="23"/>
      <c r="F19" s="5"/>
      <c r="G19" s="5"/>
      <c r="H19" s="5"/>
    </row>
  </sheetData>
  <mergeCells count="2">
    <mergeCell ref="A1:H1"/>
    <mergeCell ref="A2:H2"/>
  </mergeCells>
  <dataValidations count="1">
    <dataValidation allowBlank="false" errorStyle="stop" operator="between" showDropDown="false" showErrorMessage="false" showInputMessage="false" sqref="G5:G19" type="list">
      <formula1>"Draft,Ready for review,Hold"</formula1>
      <formula2>0</formula2>
    </dataValidation>
  </dataValidations>
  <printOptions horizontalCentered="1"/>
  <pageMargins left="0.25" right="0.25" top="0.5" bottom="0.5" header="0.2" footer="0.2"/>
  <pageSetup paperSize="1" orientation="landscape" fitToWidth="1" fitToHeight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1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20"/>
    <col collapsed="false" customWidth="true" hidden="false" outlineLevel="0" max="5" min="5" style="0" width="40"/>
  </cols>
  <sheetData>
    <row r="1" customFormat="false" ht="28" hidden="false" customHeight="true" outlineLevel="0" collapsed="false">
      <c r="A1" s="1" t="s">
        <v>52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53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27</v>
      </c>
      <c r="B4" s="4" t="s">
        <v>54</v>
      </c>
      <c r="C4" s="4" t="s">
        <v>55</v>
      </c>
      <c r="D4" s="4" t="s">
        <v>56</v>
      </c>
      <c r="E4" s="4" t="s">
        <v>57</v>
      </c>
      <c r="F4" s="3"/>
      <c r="G4" s="3"/>
      <c r="H4" s="3"/>
    </row>
    <row r="5" customFormat="false" ht="15" hidden="false" customHeight="false" outlineLevel="0" collapsed="false">
      <c r="A5" s="5"/>
      <c r="B5" s="23"/>
      <c r="C5" s="23"/>
      <c r="D5" s="22" t="n">
        <f aca="false">B5-C5</f>
        <v>0</v>
      </c>
      <c r="E5" s="5"/>
      <c r="F5" s="3"/>
      <c r="G5" s="3"/>
      <c r="H5" s="3"/>
    </row>
    <row r="6" customFormat="false" ht="15" hidden="false" customHeight="false" outlineLevel="0" collapsed="false">
      <c r="A6" s="5"/>
      <c r="B6" s="23"/>
      <c r="C6" s="23"/>
      <c r="D6" s="22" t="n">
        <f aca="false">B6-C6</f>
        <v>0</v>
      </c>
      <c r="E6" s="5"/>
      <c r="F6" s="3"/>
      <c r="G6" s="3"/>
      <c r="H6" s="3"/>
    </row>
    <row r="7" customFormat="false" ht="15" hidden="false" customHeight="false" outlineLevel="0" collapsed="false">
      <c r="A7" s="5"/>
      <c r="B7" s="23"/>
      <c r="C7" s="23"/>
      <c r="D7" s="22" t="n">
        <f aca="false">B7-C7</f>
        <v>0</v>
      </c>
      <c r="E7" s="5"/>
      <c r="F7" s="3"/>
      <c r="G7" s="3"/>
      <c r="H7" s="3"/>
    </row>
    <row r="8" customFormat="false" ht="15" hidden="false" customHeight="false" outlineLevel="0" collapsed="false">
      <c r="A8" s="5"/>
      <c r="B8" s="23"/>
      <c r="C8" s="23"/>
      <c r="D8" s="22" t="n">
        <f aca="false">B8-C8</f>
        <v>0</v>
      </c>
      <c r="E8" s="5"/>
      <c r="F8" s="3"/>
      <c r="G8" s="3"/>
      <c r="H8" s="3"/>
    </row>
    <row r="9" customFormat="false" ht="15" hidden="false" customHeight="false" outlineLevel="0" collapsed="false">
      <c r="A9" s="5"/>
      <c r="B9" s="23"/>
      <c r="C9" s="23"/>
      <c r="D9" s="22" t="n">
        <f aca="false">B9-C9</f>
        <v>0</v>
      </c>
      <c r="E9" s="5"/>
      <c r="F9" s="3"/>
      <c r="G9" s="3"/>
      <c r="H9" s="3"/>
    </row>
    <row r="10" customFormat="false" ht="15" hidden="false" customHeight="false" outlineLevel="0" collapsed="false">
      <c r="A10" s="5"/>
      <c r="B10" s="23"/>
      <c r="C10" s="23"/>
      <c r="D10" s="22" t="n">
        <f aca="false">B10-C10</f>
        <v>0</v>
      </c>
      <c r="E10" s="5"/>
      <c r="F10" s="3"/>
      <c r="G10" s="3"/>
      <c r="H10" s="3"/>
    </row>
    <row r="11" customFormat="false" ht="15" hidden="false" customHeight="false" outlineLevel="0" collapsed="false">
      <c r="A11" s="5"/>
      <c r="B11" s="23"/>
      <c r="C11" s="23"/>
      <c r="D11" s="22" t="n">
        <f aca="false">B11-C11</f>
        <v>0</v>
      </c>
      <c r="E11" s="5"/>
      <c r="F11" s="3"/>
      <c r="G11" s="3"/>
      <c r="H11" s="3"/>
    </row>
    <row r="12" customFormat="false" ht="15" hidden="false" customHeight="false" outlineLevel="0" collapsed="false">
      <c r="A12" s="5"/>
      <c r="B12" s="23"/>
      <c r="C12" s="23"/>
      <c r="D12" s="22" t="n">
        <f aca="false">B12-C12</f>
        <v>0</v>
      </c>
      <c r="E12" s="5"/>
      <c r="F12" s="3"/>
      <c r="G12" s="3"/>
      <c r="H12" s="3"/>
    </row>
    <row r="13" customFormat="false" ht="15" hidden="false" customHeight="false" outlineLevel="0" collapsed="false">
      <c r="A13" s="5"/>
      <c r="B13" s="23"/>
      <c r="C13" s="23"/>
      <c r="D13" s="22" t="n">
        <f aca="false">B13-C13</f>
        <v>0</v>
      </c>
      <c r="E13" s="5"/>
      <c r="F13" s="3"/>
      <c r="G13" s="3"/>
      <c r="H13" s="3"/>
    </row>
    <row r="14" customFormat="false" ht="15" hidden="false" customHeight="false" outlineLevel="0" collapsed="false">
      <c r="A14" s="5"/>
      <c r="B14" s="23"/>
      <c r="C14" s="23"/>
      <c r="D14" s="22" t="n">
        <f aca="false">B14-C14</f>
        <v>0</v>
      </c>
      <c r="E14" s="5"/>
      <c r="F14" s="3"/>
      <c r="G14" s="3"/>
      <c r="H14" s="3"/>
    </row>
    <row r="15" customFormat="false" ht="15" hidden="false" customHeight="false" outlineLevel="0" collapsed="false">
      <c r="A15" s="5"/>
      <c r="B15" s="23"/>
      <c r="C15" s="23"/>
      <c r="D15" s="22" t="n">
        <f aca="false">B15-C15</f>
        <v>0</v>
      </c>
      <c r="E15" s="5"/>
      <c r="F15" s="3"/>
      <c r="G15" s="3"/>
      <c r="H15" s="3"/>
    </row>
    <row r="16" customFormat="false" ht="15" hidden="false" customHeight="false" outlineLevel="0" collapsed="false">
      <c r="A16" s="5"/>
      <c r="B16" s="23"/>
      <c r="C16" s="23"/>
      <c r="D16" s="22" t="n">
        <f aca="false">B16-C16</f>
        <v>0</v>
      </c>
      <c r="E16" s="5"/>
      <c r="F16" s="3"/>
      <c r="G16" s="3"/>
      <c r="H16" s="3"/>
    </row>
    <row r="17" customFormat="false" ht="15" hidden="false" customHeight="false" outlineLevel="0" collapsed="false">
      <c r="A17" s="5"/>
      <c r="B17" s="23"/>
      <c r="C17" s="23"/>
      <c r="D17" s="22" t="n">
        <f aca="false">B17-C17</f>
        <v>0</v>
      </c>
      <c r="E17" s="5"/>
      <c r="F17" s="3"/>
      <c r="G17" s="3"/>
      <c r="H17" s="3"/>
    </row>
    <row r="18" customFormat="false" ht="15" hidden="false" customHeight="false" outlineLevel="0" collapsed="false">
      <c r="A18" s="5"/>
      <c r="B18" s="23"/>
      <c r="C18" s="23"/>
      <c r="D18" s="22" t="n">
        <f aca="false">B18-C18</f>
        <v>0</v>
      </c>
      <c r="E18" s="5"/>
      <c r="F18" s="3"/>
      <c r="G18" s="3"/>
      <c r="H18" s="3"/>
    </row>
    <row r="19" customFormat="false" ht="15" hidden="false" customHeight="false" outlineLevel="0" collapsed="false">
      <c r="A19" s="5"/>
      <c r="B19" s="23"/>
      <c r="C19" s="23"/>
      <c r="D19" s="22" t="n">
        <f aca="false">B19-C19</f>
        <v>0</v>
      </c>
      <c r="E19" s="5"/>
      <c r="F19" s="3"/>
      <c r="G19" s="3"/>
      <c r="H19" s="3"/>
    </row>
    <row r="20" customFormat="false" ht="15" hidden="false" customHeight="false" outlineLevel="0" collapsed="false">
      <c r="A20" s="5"/>
      <c r="B20" s="23"/>
      <c r="C20" s="23"/>
      <c r="D20" s="22" t="n">
        <f aca="false">B20-C20</f>
        <v>0</v>
      </c>
      <c r="E20" s="5"/>
      <c r="F20" s="3"/>
      <c r="G20" s="3"/>
      <c r="H20" s="3"/>
    </row>
    <row r="21" customFormat="false" ht="15" hidden="false" customHeight="false" outlineLevel="0" collapsed="false">
      <c r="A21" s="5"/>
      <c r="B21" s="23"/>
      <c r="C21" s="23"/>
      <c r="D21" s="22" t="n">
        <f aca="false">B21-C21</f>
        <v>0</v>
      </c>
      <c r="E21" s="5"/>
      <c r="F21" s="3"/>
      <c r="G21" s="3"/>
      <c r="H21" s="3"/>
    </row>
    <row r="22" customFormat="false" ht="15" hidden="false" customHeight="false" outlineLevel="0" collapsed="false">
      <c r="A22" s="5"/>
      <c r="B22" s="23"/>
      <c r="C22" s="23"/>
      <c r="D22" s="22" t="n">
        <f aca="false">B22-C22</f>
        <v>0</v>
      </c>
      <c r="E22" s="5"/>
      <c r="F22" s="3"/>
      <c r="G22" s="3"/>
      <c r="H22" s="3"/>
    </row>
    <row r="23" customFormat="false" ht="15" hidden="false" customHeight="false" outlineLevel="0" collapsed="false">
      <c r="A23" s="5"/>
      <c r="B23" s="23"/>
      <c r="C23" s="23"/>
      <c r="D23" s="22" t="n">
        <f aca="false">B23-C23</f>
        <v>0</v>
      </c>
      <c r="E23" s="5"/>
      <c r="F23" s="3"/>
      <c r="G23" s="3"/>
      <c r="H23" s="3"/>
    </row>
    <row r="24" customFormat="false" ht="15" hidden="false" customHeight="false" outlineLevel="0" collapsed="false">
      <c r="A24" s="5"/>
      <c r="B24" s="23"/>
      <c r="C24" s="23"/>
      <c r="D24" s="22" t="n">
        <f aca="false">B24-C24</f>
        <v>0</v>
      </c>
      <c r="E24" s="5"/>
      <c r="F24" s="3"/>
      <c r="G24" s="3"/>
      <c r="H24" s="3"/>
    </row>
  </sheetData>
  <mergeCells count="2">
    <mergeCell ref="A1:H1"/>
    <mergeCell ref="A2:H2"/>
  </mergeCells>
  <printOptions horizontalCentered="1"/>
  <pageMargins left="0.25" right="0.25" top="0.5" bottom="0.5" header="0.2" footer="0.2"/>
  <pageSetup paperSize="1" orientation="portrait" fitToWidth="1" fitToHeight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1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38"/>
    <col collapsed="false" customWidth="true" hidden="false" outlineLevel="0" max="8" min="4" style="0" width="20"/>
  </cols>
  <sheetData>
    <row r="1" customFormat="false" ht="28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59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28.35" hidden="false" customHeight="false" outlineLevel="0" collapsed="false">
      <c r="A4" s="4" t="s">
        <v>60</v>
      </c>
      <c r="B4" s="4" t="s">
        <v>61</v>
      </c>
      <c r="C4" s="4" t="s">
        <v>62</v>
      </c>
      <c r="D4" s="4" t="s">
        <v>63</v>
      </c>
      <c r="E4" s="4" t="s">
        <v>64</v>
      </c>
      <c r="F4" s="4" t="s">
        <v>65</v>
      </c>
      <c r="G4" s="4" t="s">
        <v>15</v>
      </c>
      <c r="H4" s="4" t="s">
        <v>66</v>
      </c>
    </row>
    <row r="5" customFormat="false" ht="15" hidden="false" customHeight="false" outlineLevel="0" collapsed="false">
      <c r="A5" s="5"/>
      <c r="B5" s="5"/>
      <c r="C5" s="5"/>
      <c r="D5" s="5"/>
      <c r="E5" s="5"/>
      <c r="F5" s="24"/>
      <c r="G5" s="5"/>
      <c r="H5" s="5"/>
    </row>
    <row r="6" customFormat="false" ht="15" hidden="false" customHeight="false" outlineLevel="0" collapsed="false">
      <c r="A6" s="5"/>
      <c r="B6" s="5"/>
      <c r="C6" s="5"/>
      <c r="D6" s="5"/>
      <c r="E6" s="5"/>
      <c r="F6" s="24"/>
      <c r="G6" s="5"/>
      <c r="H6" s="5"/>
    </row>
    <row r="7" customFormat="false" ht="15" hidden="false" customHeight="false" outlineLevel="0" collapsed="false">
      <c r="A7" s="5"/>
      <c r="B7" s="5"/>
      <c r="C7" s="5"/>
      <c r="D7" s="5"/>
      <c r="E7" s="5"/>
      <c r="F7" s="24"/>
      <c r="G7" s="5"/>
      <c r="H7" s="5"/>
    </row>
    <row r="8" customFormat="false" ht="15" hidden="false" customHeight="false" outlineLevel="0" collapsed="false">
      <c r="A8" s="5"/>
      <c r="B8" s="5"/>
      <c r="C8" s="5"/>
      <c r="D8" s="5"/>
      <c r="E8" s="5"/>
      <c r="F8" s="24"/>
      <c r="G8" s="5"/>
      <c r="H8" s="5"/>
    </row>
    <row r="9" customFormat="false" ht="15" hidden="false" customHeight="false" outlineLevel="0" collapsed="false">
      <c r="A9" s="5"/>
      <c r="B9" s="5"/>
      <c r="C9" s="5"/>
      <c r="D9" s="5"/>
      <c r="E9" s="5"/>
      <c r="F9" s="24"/>
      <c r="G9" s="5"/>
      <c r="H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24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24"/>
      <c r="G11" s="5"/>
      <c r="H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24"/>
      <c r="G12" s="5"/>
      <c r="H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24"/>
      <c r="G13" s="5"/>
      <c r="H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24"/>
      <c r="G14" s="5"/>
      <c r="H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24"/>
      <c r="G15" s="5"/>
      <c r="H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24"/>
      <c r="G16" s="5"/>
      <c r="H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24"/>
      <c r="G17" s="5"/>
      <c r="H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24"/>
      <c r="G18" s="5"/>
      <c r="H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24"/>
      <c r="G19" s="5"/>
      <c r="H19" s="5"/>
    </row>
  </sheetData>
  <mergeCells count="2">
    <mergeCell ref="A1:H1"/>
    <mergeCell ref="A2:H2"/>
  </mergeCells>
  <dataValidations count="2">
    <dataValidation allowBlank="false" errorStyle="stop" operator="between" showDropDown="false" showErrorMessage="false" showInputMessage="false" sqref="D5:D19" type="list">
      <formula1>"supporting,contextual,question-only,superseded"</formula1>
      <formula2>0</formula2>
    </dataValidation>
    <dataValidation allowBlank="false" errorStyle="stop" operator="between" showDropDown="false" showErrorMessage="false" showInputMessage="false" sqref="G5:G19" type="list">
      <formula1>"Open,Resolved,Retained"</formula1>
      <formula2>0</formula2>
    </dataValidation>
  </dataValidations>
  <printOptions horizontalCentered="1"/>
  <pageMargins left="0.25" right="0.25" top="0.5" bottom="0.5" header="0.2" footer="0.2"/>
  <pageSetup paperSize="1" orientation="landscape" fitToWidth="1" fitToHeight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>
  <sheetPr filterMode="false">
    <pageSetUpPr fitToPage="1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22"/>
  </cols>
  <sheetData>
    <row r="1" customFormat="false" ht="28" hidden="false" customHeight="true" outlineLevel="0" collapsed="false">
      <c r="A1" s="1" t="s">
        <v>67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68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69</v>
      </c>
      <c r="B4" s="4" t="s">
        <v>70</v>
      </c>
      <c r="C4" s="4" t="s">
        <v>71</v>
      </c>
      <c r="D4" s="4" t="s">
        <v>72</v>
      </c>
      <c r="E4" s="3"/>
      <c r="F4" s="3"/>
      <c r="G4" s="3"/>
      <c r="H4" s="3"/>
    </row>
    <row r="5" customFormat="false" ht="15" hidden="false" customHeight="false" outlineLevel="0" collapsed="false">
      <c r="A5" s="3" t="s">
        <v>73</v>
      </c>
      <c r="B5" s="3" t="str">
        <f aca="false">IF(SUMPRODUCT(--(((Source_Data!$A$5:$A$29&lt;&gt;"")+(Source_Data!$B$5:$B$29&lt;&gt;"")+(Source_Data!$C$5:$C$29&lt;&gt;"")+(Source_Data!$D$5:$D$29&lt;&gt;"")+(Source_Data!$E$5:$E$29&lt;&gt;"")+(Source_Data!$F$5:$F$29&lt;&gt;"")+(Source_Data!$G$5:$G$29&lt;&gt;"")+(Source_Data!$H$5:$H$29&lt;&gt;""))&gt;0))=0,"NOT READY",IF(C5=0,"PASS","FAIL"))</f>
        <v>NOT READY</v>
      </c>
      <c r="C5" s="3" t="n">
        <f aca="false">SUMPRODUCT(--(((Source_Data!$A$5:$A$29&lt;&gt;"")+(Source_Data!$B$5:$B$29&lt;&gt;"")+(Source_Data!$C$5:$C$29&lt;&gt;"")+(Source_Data!$D$5:$D$29&lt;&gt;"")+(Source_Data!$E$5:$E$29&lt;&gt;"")+(Source_Data!$F$5:$F$29&lt;&gt;"")+(Source_Data!$G$5:$G$29&lt;&gt;"")+(Source_Data!$H$5:$H$29&lt;&gt;""))&gt;0))-SUMPRODUCT(--(Source_Data!$A$5:$A$29&lt;&gt;""),--(Source_Data!$B$5:$B$29&lt;&gt;""),--(Source_Data!$C$5:$C$29&lt;&gt;""),--ISNUMBER(Source_Data!$D$5:$D$29),--(Source_Data!$E$5:$E$29&lt;&gt;""),--ISNUMBER(Source_Data!$F$5:$F$29),--ISNUMBER(Source_Data!$G$5:$G$29),--(Source_Data!$H$5:$H$29&lt;&gt;""))</f>
        <v>0</v>
      </c>
      <c r="D5" s="3" t="s">
        <v>74</v>
      </c>
      <c r="E5" s="3"/>
      <c r="F5" s="3"/>
      <c r="G5" s="3"/>
      <c r="H5" s="3"/>
    </row>
    <row r="6" customFormat="false" ht="15" hidden="false" customHeight="false" outlineLevel="0" collapsed="false">
      <c r="A6" s="3" t="s">
        <v>75</v>
      </c>
      <c r="B6" s="3" t="str">
        <f aca="false">IF(B5&lt;&gt;"PASS","NOT READY",IF(C6&gt;0,"PASS","FAIL"))</f>
        <v>NOT READY</v>
      </c>
      <c r="C6" s="3" t="n">
        <f aca="false">SUMPRODUCT(IFERROR(ABS(Source_Data!$F$5:$F$29),0))+SUMPRODUCT(IFERROR(ABS(Source_Data!$G$5:$G$29),0))</f>
        <v>0</v>
      </c>
      <c r="D6" s="3" t="s">
        <v>74</v>
      </c>
      <c r="E6" s="3"/>
      <c r="F6" s="3"/>
      <c r="G6" s="3"/>
      <c r="H6" s="3"/>
    </row>
    <row r="7" customFormat="false" ht="15" hidden="false" customHeight="false" outlineLevel="0" collapsed="false">
      <c r="A7" s="3" t="s">
        <v>76</v>
      </c>
      <c r="B7" s="3" t="str">
        <f aca="false">IF(B5&lt;&gt;"PASS","NOT READY",IF(ABS(C7)&lt;0.005,"PASS","FAIL"))</f>
        <v>NOT READY</v>
      </c>
      <c r="C7" s="3" t="n">
        <f aca="false">SUM(Source_Data!$F$5:$F$29)-SUM(Source_Data!$G$5:$G$29)</f>
        <v>0</v>
      </c>
      <c r="D7" s="3" t="s">
        <v>74</v>
      </c>
      <c r="E7" s="3"/>
      <c r="F7" s="3"/>
      <c r="G7" s="3"/>
      <c r="H7" s="3"/>
    </row>
    <row r="8" customFormat="false" ht="15" hidden="false" customHeight="false" outlineLevel="0" collapsed="false">
      <c r="A8" s="3" t="s">
        <v>77</v>
      </c>
      <c r="B8" s="3" t="str">
        <f aca="false">IF(SUMPRODUCT(--(((Account_Map!$A$5:$A$29&lt;&gt;"")+(Account_Map!$B$5:$B$29&lt;&gt;"")+(Account_Map!$C$5:$C$29&lt;&gt;"")+(Account_Map!$D$5:$D$29&lt;&gt;"")+(Account_Map!$E$5:$E$29&lt;&gt;""))&gt;0))=0,"NOT READY",IF(C8=0,"PASS","FAIL"))</f>
        <v>NOT READY</v>
      </c>
      <c r="C8" s="3" t="n">
        <f aca="false">SUMPRODUCT(--(((Account_Map!$A$5:$A$29&lt;&gt;"")+(Account_Map!$B$5:$B$29&lt;&gt;"")+(Account_Map!$C$5:$C$29&lt;&gt;"")+(Account_Map!$D$5:$D$29&lt;&gt;"")+(Account_Map!$E$5:$E$29&lt;&gt;""))&gt;0))-SUMPRODUCT(--(Account_Map!$A$5:$A$29&lt;&gt;""),--(Account_Map!$B$5:$B$29&lt;&gt;""),--(Account_Map!$C$5:$C$29&lt;&gt;""),--(Account_Map!$D$5:$D$29&lt;&gt;""),--(((Account_Map!$E$5:$E$29="Yes")+(Account_Map!$E$5:$E$29="No"))&gt;0))</f>
        <v>0</v>
      </c>
      <c r="D8" s="3" t="s">
        <v>78</v>
      </c>
      <c r="E8" s="3"/>
      <c r="F8" s="3"/>
      <c r="G8" s="3"/>
      <c r="H8" s="3"/>
    </row>
    <row r="9" customFormat="false" ht="15" hidden="false" customHeight="false" outlineLevel="0" collapsed="false">
      <c r="A9" s="3" t="s">
        <v>79</v>
      </c>
      <c r="B9" s="3" t="str">
        <f aca="false">IF(SUMPRODUCT(--(((Reconciliation!$A$5:$A$24&lt;&gt;"")+(Reconciliation!$B$5:$B$24&lt;&gt;"")+(Reconciliation!$D$5:$D$24&lt;&gt;"")+(Reconciliation!$F$5:$F$24&lt;&gt;"")+(Reconciliation!$H$5:$H$24&lt;&gt;""))&gt;0))=0,"NOT READY",IF(C9=0,"PASS","FAIL"))</f>
        <v>NOT READY</v>
      </c>
      <c r="C9" s="3" t="n">
        <f aca="false">SUMPRODUCT(--(((Reconciliation!$A$5:$A$24&lt;&gt;"")+(Reconciliation!$B$5:$B$24&lt;&gt;"")+(Reconciliation!$D$5:$D$24&lt;&gt;"")+(Reconciliation!$F$5:$F$24&lt;&gt;"")+(Reconciliation!$H$5:$H$24&lt;&gt;""))&gt;0))-SUMPRODUCT(--(Reconciliation!$A$5:$A$24&lt;&gt;""),--(Reconciliation!$B$5:$B$24&lt;&gt;""),--ISNUMBER(Reconciliation!$D$5:$D$24),--ISNUMBER(Reconciliation!$F$5:$F$24),--(Reconciliation!$G$5:$G$24="PASS"))</f>
        <v>0</v>
      </c>
      <c r="D9" s="3" t="s">
        <v>39</v>
      </c>
      <c r="E9" s="3"/>
      <c r="F9" s="3"/>
      <c r="G9" s="3"/>
      <c r="H9" s="3"/>
    </row>
    <row r="10" customFormat="false" ht="15" hidden="false" customHeight="false" outlineLevel="0" collapsed="false">
      <c r="A10" s="3" t="s">
        <v>80</v>
      </c>
      <c r="B10" s="3" t="str">
        <f aca="false">IF(COUNTA(Proposed_Entries!$A$5:$A$19)=0,"NOT APPLICABLE",IF(ABS(C10)&lt;0.005,"PASS","FAIL"))</f>
        <v>NOT APPLICABLE</v>
      </c>
      <c r="C10" s="3" t="n">
        <f aca="false">SUM(Proposed_Entries!$D$5:$D$19)-SUM(Proposed_Entries!$E$5:$E$19)</f>
        <v>0</v>
      </c>
      <c r="D10" s="3" t="s">
        <v>81</v>
      </c>
      <c r="E10" s="3"/>
      <c r="F10" s="3"/>
      <c r="G10" s="3"/>
      <c r="H10" s="3"/>
    </row>
    <row r="11" customFormat="false" ht="15" hidden="false" customHeight="false" outlineLevel="0" collapsed="false">
      <c r="A11" s="3" t="s">
        <v>82</v>
      </c>
      <c r="B11" s="3" t="str">
        <f aca="false">IF(B9&lt;&gt;"PASS","NOT READY",IF(C11=0,"PASS","FAIL"))</f>
        <v>NOT READY</v>
      </c>
      <c r="C11" s="3" t="n">
        <f aca="false">COUNTIF(Exceptions!$G$5:$G$19,"Open")</f>
        <v>0</v>
      </c>
      <c r="D11" s="3" t="s">
        <v>83</v>
      </c>
      <c r="E11" s="3"/>
      <c r="F11" s="3"/>
      <c r="G11" s="3"/>
      <c r="H11" s="3"/>
    </row>
    <row r="12" customFormat="false" ht="15" hidden="false" customHeight="false" outlineLevel="0" collapsed="false">
      <c r="A12" s="3" t="s">
        <v>84</v>
      </c>
      <c r="B12" s="3" t="str">
        <f aca="false">IF(C12=0,"PASS","NOT READY")</f>
        <v>NOT READY</v>
      </c>
      <c r="C12" s="3" t="n">
        <f aca="false">IF(OR(COUNTBLANK(Close_Control!B5:B8)&gt;0,LEFT(Close_Control!B5,1)="{",LEFT(Close_Control!B6,1)="{",LEFT(Close_Control!B7,1)="{",LEFT(Close_Control!B8,1)="{"),1,0)</f>
        <v>1</v>
      </c>
      <c r="D12" s="3" t="s">
        <v>85</v>
      </c>
      <c r="E12" s="3"/>
      <c r="F12" s="3"/>
      <c r="G12" s="3"/>
      <c r="H12" s="3"/>
    </row>
    <row r="13" customFormat="false" ht="15" hidden="false" customHeight="false" outlineLevel="0" collapsed="false">
      <c r="A13" s="3" t="s">
        <v>86</v>
      </c>
      <c r="B13" s="3" t="str">
        <f aca="false">IF(C13=0,"PASS","FAIL")</f>
        <v>PASS</v>
      </c>
      <c r="C13" s="3" t="n">
        <f aca="true">COUNTA(INDIRECT("'Source_Data'!A30:H1048576"))+COUNTA(INDIRECT("'Account_Map'!A30:E1048576"))+COUNTA(INDIRECT("'Reconciliation'!A25:H1048576"))+COUNTA(INDIRECT("'Proposed_Entries'!A20:H1048576"))+COUNTA(INDIRECT("'Prior_Period'!A25:E1048576"))+COUNTA(INDIRECT("'Exceptions'!A20:H1048576"))</f>
        <v>0</v>
      </c>
      <c r="D13" s="3" t="s">
        <v>87</v>
      </c>
      <c r="E13" s="3"/>
      <c r="F13" s="3"/>
      <c r="G13" s="3"/>
      <c r="H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4" t="s">
        <v>88</v>
      </c>
      <c r="B15" s="4" t="s">
        <v>89</v>
      </c>
      <c r="C15" s="3"/>
      <c r="D15" s="3"/>
      <c r="E15" s="3"/>
      <c r="F15" s="3"/>
      <c r="G15" s="3"/>
      <c r="H15" s="3"/>
    </row>
    <row r="16" customFormat="false" ht="15" hidden="false" customHeight="false" outlineLevel="0" collapsed="false">
      <c r="A16" s="3" t="s">
        <v>15</v>
      </c>
      <c r="B16" s="25" t="str">
        <f aca="false">IF(COUNTIF(B5:B13,"FAIL")&gt;0,"FAIL",IF(COUNTIF(B5:B13,"NOT READY")&gt;0,"NOT READY","PASS"))</f>
        <v>NOT READY</v>
      </c>
      <c r="C16" s="3"/>
      <c r="D16" s="3"/>
      <c r="E16" s="3"/>
      <c r="F16" s="3"/>
      <c r="G16" s="3"/>
      <c r="H16" s="3"/>
    </row>
  </sheetData>
  <mergeCells count="2">
    <mergeCell ref="A1:H1"/>
    <mergeCell ref="A2:H2"/>
  </mergeCells>
  <conditionalFormatting sqref="B5:B13">
    <cfRule type="containsText" priority="2" operator="containsText" aboveAverage="0" equalAverage="0" bottom="0" percent="0" rank="0" text="PASS" dxfId="6">
      <formula>NOT(ISERROR(SEARCH("PASS",B5)))</formula>
    </cfRule>
    <cfRule type="containsText" priority="3" operator="containsText" aboveAverage="0" equalAverage="0" bottom="0" percent="0" rank="0" text="FAIL" dxfId="7">
      <formula>NOT(ISERROR(SEARCH("FAIL",B5)))</formula>
    </cfRule>
    <cfRule type="containsText" priority="4" operator="containsText" aboveAverage="0" equalAverage="0" bottom="0" percent="0" rank="0" text="NOT READY" dxfId="8">
      <formula>NOT(ISERROR(SEARCH("NOT READY",B5)))</formula>
    </cfRule>
  </conditionalFormatting>
  <printOptions horizontalCentered="1"/>
  <pageMargins left="0.25" right="0.25" top="0.5" bottom="0.5" header="0.2" footer="0.2"/>
  <pageSetup paperSize="1" orientation="portrait" fitToWidth="1" fitToHeight="1"/>
  <headerFooter differentFirst="false" differentOddEven="false">
    <oddHeader/>
    <oddFooter/>
  </headerFooter>
</worksheet>
</file>